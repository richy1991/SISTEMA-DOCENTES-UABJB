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ISCO SEAGATE\3 SECTOR PUBLICO\U.A.B.J.B\ING. SISTEMAS _ UABJB\3. ALGEBRA LINEAL\PROGRAMA ANALITICO ALGEBRA LINEAL 1.2023\Guias Nuevas 2021\"/>
    </mc:Choice>
  </mc:AlternateContent>
  <xr:revisionPtr revIDLastSave="0" documentId="8_{18396E35-07F9-C54D-98A1-567074238803}" xr6:coauthVersionLast="47" xr6:coauthVersionMax="47" xr10:uidLastSave="{00000000-0000-0000-0000-000000000000}"/>
  <bookViews>
    <workbookView xWindow="20370" yWindow="-120" windowWidth="20730" windowHeight="11160" tabRatio="718" activeTab="1" xr2:uid="{00000000-000D-0000-FFFF-FFFF00000000}"/>
  </bookViews>
  <sheets>
    <sheet name="DOCENCIA 2021" sheetId="3" r:id="rId1"/>
    <sheet name="PLAN ASIGNATURA DOCENCIA" sheetId="2" r:id="rId2"/>
    <sheet name="TIEMPO COMPLETO" sheetId="5" r:id="rId3"/>
    <sheet name="PLAN Tiempo Completo" sheetId="6" r:id="rId4"/>
    <sheet name="Plan de Estudios CIS" sheetId="4" r:id="rId5"/>
  </sheets>
  <definedNames>
    <definedName name="_xlnm._FilterDatabase" localSheetId="2" hidden="1">'TIEMPO COMPLETO'!$A$3:$AO$3</definedName>
    <definedName name="_xlnm.Print_Area" localSheetId="1">'PLAN ASIGNATURA DOCENCIA'!$A$1:$F$50</definedName>
    <definedName name="_xlnm.Print_Area" localSheetId="3">'PLAN Tiempo Completo'!$A$1:$F$49</definedName>
    <definedName name="_xlnm.Print_Titles" localSheetId="1">'PLAN ASIGNATURA DOCENCIA'!$1:$4</definedName>
    <definedName name="_xlnm.Print_Titles" localSheetId="3">'PLAN Tiempo Completo'!$1:$3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1" i="5" l="1"/>
  <c r="P10" i="5"/>
  <c r="P17" i="3"/>
  <c r="N17" i="3"/>
  <c r="R11" i="5"/>
  <c r="Q11" i="5"/>
  <c r="Q17" i="3"/>
  <c r="O11" i="5"/>
  <c r="O10" i="5"/>
  <c r="M11" i="5"/>
  <c r="E50" i="2"/>
  <c r="E49" i="6"/>
  <c r="AH49" i="5"/>
  <c r="L49" i="5"/>
  <c r="O49" i="5"/>
  <c r="P49" i="5"/>
  <c r="AH41" i="5"/>
  <c r="L41" i="5"/>
  <c r="O41" i="5"/>
  <c r="P41" i="5"/>
  <c r="AH33" i="5"/>
  <c r="L33" i="5"/>
  <c r="O33" i="5"/>
  <c r="P33" i="5"/>
  <c r="AH31" i="5"/>
  <c r="L31" i="5"/>
  <c r="O31" i="5"/>
  <c r="P31" i="5"/>
  <c r="AH29" i="5"/>
  <c r="L29" i="5"/>
  <c r="O29" i="5"/>
  <c r="P29" i="5"/>
  <c r="AH27" i="5"/>
  <c r="L27" i="5"/>
  <c r="O27" i="5"/>
  <c r="P27" i="5"/>
  <c r="AH22" i="5"/>
  <c r="L22" i="5"/>
  <c r="O22" i="5"/>
  <c r="P22" i="5"/>
  <c r="AH20" i="5"/>
  <c r="L20" i="5"/>
  <c r="O20" i="5"/>
  <c r="P20" i="5"/>
  <c r="AH18" i="5"/>
  <c r="L18" i="5"/>
  <c r="O18" i="5"/>
  <c r="P18" i="5"/>
  <c r="AH13" i="5"/>
  <c r="L13" i="5"/>
  <c r="M13" i="5"/>
  <c r="Q13" i="5"/>
  <c r="R13" i="5"/>
  <c r="AH11" i="5"/>
  <c r="L11" i="5"/>
  <c r="AH52" i="5"/>
  <c r="L52" i="5"/>
  <c r="O52" i="5"/>
  <c r="P52" i="5"/>
  <c r="AH47" i="5"/>
  <c r="L47" i="5"/>
  <c r="O47" i="5"/>
  <c r="P47" i="5"/>
  <c r="AH44" i="5"/>
  <c r="L44" i="5"/>
  <c r="M44" i="5"/>
  <c r="Q44" i="5"/>
  <c r="R44" i="5"/>
  <c r="AH39" i="5"/>
  <c r="L39" i="5"/>
  <c r="O39" i="5"/>
  <c r="P39" i="5"/>
  <c r="AH36" i="5"/>
  <c r="L36" i="5"/>
  <c r="O36" i="5"/>
  <c r="P36" i="5"/>
  <c r="AH25" i="5"/>
  <c r="L25" i="5"/>
  <c r="O25" i="5"/>
  <c r="P25" i="5"/>
  <c r="AH16" i="5"/>
  <c r="L16" i="5"/>
  <c r="O16" i="5"/>
  <c r="P16" i="5"/>
  <c r="AH9" i="5"/>
  <c r="L9" i="5"/>
  <c r="O9" i="5"/>
  <c r="P9" i="5"/>
  <c r="S9" i="5"/>
  <c r="AH6" i="5"/>
  <c r="N18" i="3"/>
  <c r="T18" i="3"/>
  <c r="AH18" i="3"/>
  <c r="N66" i="3"/>
  <c r="T66" i="3"/>
  <c r="AH66" i="3"/>
  <c r="L6" i="5"/>
  <c r="O6" i="5"/>
  <c r="P6" i="5"/>
  <c r="S6" i="5"/>
  <c r="AH19" i="5"/>
  <c r="O19" i="5"/>
  <c r="N19" i="5"/>
  <c r="M19" i="5"/>
  <c r="Q19" i="5"/>
  <c r="R19" i="5"/>
  <c r="AH32" i="5"/>
  <c r="O32" i="5"/>
  <c r="N32" i="5"/>
  <c r="M32" i="5"/>
  <c r="Q32" i="5"/>
  <c r="R32" i="5"/>
  <c r="AH48" i="5"/>
  <c r="O48" i="5"/>
  <c r="N48" i="5"/>
  <c r="M48" i="5"/>
  <c r="Q48" i="5"/>
  <c r="R48" i="5"/>
  <c r="AH38" i="5"/>
  <c r="O38" i="5"/>
  <c r="N38" i="5"/>
  <c r="M38" i="5"/>
  <c r="Q38" i="5"/>
  <c r="R38" i="5"/>
  <c r="AH8" i="5"/>
  <c r="O8" i="5"/>
  <c r="N8" i="5"/>
  <c r="M8" i="5"/>
  <c r="Q8" i="5"/>
  <c r="R8" i="5"/>
  <c r="AH40" i="5"/>
  <c r="O40" i="5"/>
  <c r="N40" i="5"/>
  <c r="M40" i="5"/>
  <c r="Q40" i="5"/>
  <c r="R40" i="5"/>
  <c r="AH35" i="5"/>
  <c r="O35" i="5"/>
  <c r="N35" i="5"/>
  <c r="M35" i="5"/>
  <c r="Q35" i="5"/>
  <c r="R35" i="5"/>
  <c r="AH46" i="5"/>
  <c r="O46" i="5"/>
  <c r="N46" i="5"/>
  <c r="M46" i="5"/>
  <c r="Q46" i="5"/>
  <c r="R46" i="5"/>
  <c r="AH5" i="5"/>
  <c r="O5" i="5"/>
  <c r="N5" i="5"/>
  <c r="M5" i="5"/>
  <c r="Q5" i="5"/>
  <c r="R5" i="5"/>
  <c r="AH45" i="5"/>
  <c r="O45" i="5"/>
  <c r="N45" i="5"/>
  <c r="M45" i="5"/>
  <c r="Q45" i="5"/>
  <c r="R45" i="5"/>
  <c r="AH26" i="5"/>
  <c r="O26" i="5"/>
  <c r="N26" i="5"/>
  <c r="M26" i="5"/>
  <c r="Q26" i="5"/>
  <c r="AH24" i="5"/>
  <c r="O24" i="5"/>
  <c r="N24" i="5"/>
  <c r="M24" i="5"/>
  <c r="Q24" i="5"/>
  <c r="R24" i="5"/>
  <c r="AH12" i="5"/>
  <c r="O12" i="5"/>
  <c r="N12" i="5"/>
  <c r="M12" i="5"/>
  <c r="Q12" i="5"/>
  <c r="R12" i="5"/>
  <c r="AH28" i="5"/>
  <c r="O28" i="5"/>
  <c r="N28" i="5"/>
  <c r="M28" i="5"/>
  <c r="Q28" i="5"/>
  <c r="R28" i="5"/>
  <c r="AH23" i="5"/>
  <c r="O23" i="5"/>
  <c r="N23" i="5"/>
  <c r="M23" i="5"/>
  <c r="Q23" i="5"/>
  <c r="R23" i="5"/>
  <c r="AH34" i="5"/>
  <c r="O34" i="5"/>
  <c r="N34" i="5"/>
  <c r="M34" i="5"/>
  <c r="Q34" i="5"/>
  <c r="AH4" i="5"/>
  <c r="O4" i="5"/>
  <c r="N4" i="5"/>
  <c r="M4" i="5"/>
  <c r="Q4" i="5"/>
  <c r="R4" i="5"/>
  <c r="AH30" i="5"/>
  <c r="O30" i="5"/>
  <c r="N30" i="5"/>
  <c r="M30" i="5"/>
  <c r="Q30" i="5"/>
  <c r="AH15" i="5"/>
  <c r="O15" i="5"/>
  <c r="N15" i="5"/>
  <c r="M15" i="5"/>
  <c r="Q15" i="5"/>
  <c r="R15" i="5"/>
  <c r="AH43" i="5"/>
  <c r="O43" i="5"/>
  <c r="N43" i="5"/>
  <c r="M43" i="5"/>
  <c r="Q43" i="5"/>
  <c r="R43" i="5"/>
  <c r="AH10" i="5"/>
  <c r="N10" i="5"/>
  <c r="M10" i="5"/>
  <c r="Q10" i="5"/>
  <c r="R10" i="5"/>
  <c r="AH21" i="5"/>
  <c r="O21" i="5"/>
  <c r="N21" i="5"/>
  <c r="M21" i="5"/>
  <c r="Q21" i="5"/>
  <c r="R21" i="5"/>
  <c r="AH14" i="5"/>
  <c r="O14" i="5"/>
  <c r="N14" i="5"/>
  <c r="M14" i="5"/>
  <c r="Q14" i="5"/>
  <c r="R14" i="5"/>
  <c r="AH37" i="5"/>
  <c r="O37" i="5"/>
  <c r="N37" i="5"/>
  <c r="M37" i="5"/>
  <c r="Q37" i="5"/>
  <c r="R37" i="5"/>
  <c r="AH42" i="5"/>
  <c r="O42" i="5"/>
  <c r="N42" i="5"/>
  <c r="M42" i="5"/>
  <c r="Q42" i="5"/>
  <c r="R42" i="5"/>
  <c r="AH51" i="5"/>
  <c r="O51" i="5"/>
  <c r="N51" i="5"/>
  <c r="M51" i="5"/>
  <c r="Q51" i="5"/>
  <c r="R51" i="5"/>
  <c r="AH50" i="5"/>
  <c r="O50" i="5"/>
  <c r="N50" i="5"/>
  <c r="M50" i="5"/>
  <c r="Q50" i="5"/>
  <c r="R50" i="5"/>
  <c r="AH17" i="5"/>
  <c r="O17" i="5"/>
  <c r="N17" i="5"/>
  <c r="M17" i="5"/>
  <c r="Q17" i="5"/>
  <c r="R17" i="5"/>
  <c r="AH7" i="5"/>
  <c r="O7" i="5"/>
  <c r="N7" i="5"/>
  <c r="M7" i="5"/>
  <c r="Q7" i="5"/>
  <c r="R7" i="5"/>
  <c r="M5" i="3"/>
  <c r="Q5" i="3"/>
  <c r="R5" i="3"/>
  <c r="N5" i="3"/>
  <c r="T5" i="3"/>
  <c r="O5" i="3"/>
  <c r="P5" i="3"/>
  <c r="AH5" i="3"/>
  <c r="M6" i="3"/>
  <c r="Q6" i="3"/>
  <c r="R6" i="3"/>
  <c r="N6" i="3"/>
  <c r="O6" i="3"/>
  <c r="M7" i="3"/>
  <c r="Q7" i="3"/>
  <c r="R7" i="3"/>
  <c r="N7" i="3"/>
  <c r="T7" i="3"/>
  <c r="AH7" i="3"/>
  <c r="O7" i="3"/>
  <c r="M8" i="3"/>
  <c r="N8" i="3"/>
  <c r="O8" i="3"/>
  <c r="Q8" i="3"/>
  <c r="R8" i="3"/>
  <c r="M9" i="3"/>
  <c r="N9" i="3"/>
  <c r="T9" i="3"/>
  <c r="O9" i="3"/>
  <c r="P9" i="3"/>
  <c r="Q9" i="3"/>
  <c r="R9" i="3"/>
  <c r="S9" i="3"/>
  <c r="AH9" i="3"/>
  <c r="M10" i="3"/>
  <c r="Q10" i="3"/>
  <c r="R10" i="3"/>
  <c r="N10" i="3"/>
  <c r="O10" i="3"/>
  <c r="M11" i="3"/>
  <c r="N11" i="3"/>
  <c r="T11" i="3"/>
  <c r="AH11" i="3"/>
  <c r="O11" i="3"/>
  <c r="Q11" i="3"/>
  <c r="R11" i="3"/>
  <c r="M12" i="3"/>
  <c r="Q12" i="3"/>
  <c r="N12" i="3"/>
  <c r="O12" i="3"/>
  <c r="R12" i="3"/>
  <c r="M13" i="3"/>
  <c r="N13" i="3"/>
  <c r="T13" i="3"/>
  <c r="AH13" i="3"/>
  <c r="O13" i="3"/>
  <c r="P13" i="3"/>
  <c r="Q13" i="3"/>
  <c r="R13" i="3"/>
  <c r="M14" i="3"/>
  <c r="N14" i="3"/>
  <c r="O14" i="3"/>
  <c r="Q14" i="3"/>
  <c r="R14" i="3"/>
  <c r="M15" i="3"/>
  <c r="N15" i="3"/>
  <c r="T15" i="3"/>
  <c r="AH15" i="3"/>
  <c r="O15" i="3"/>
  <c r="P15" i="3"/>
  <c r="Q15" i="3"/>
  <c r="R15" i="3"/>
  <c r="M16" i="3"/>
  <c r="Q16" i="3"/>
  <c r="R16" i="3"/>
  <c r="N16" i="3"/>
  <c r="O16" i="3"/>
  <c r="M17" i="3"/>
  <c r="R17" i="3"/>
  <c r="T17" i="3"/>
  <c r="AH17" i="3"/>
  <c r="O17" i="3"/>
  <c r="M18" i="3"/>
  <c r="Q18" i="3"/>
  <c r="R18" i="3"/>
  <c r="O18" i="3"/>
  <c r="M19" i="3"/>
  <c r="N19" i="3"/>
  <c r="T19" i="3"/>
  <c r="AH19" i="3"/>
  <c r="O19" i="3"/>
  <c r="Q19" i="3"/>
  <c r="R19" i="3"/>
  <c r="M20" i="3"/>
  <c r="Q20" i="3"/>
  <c r="R20" i="3"/>
  <c r="N20" i="3"/>
  <c r="O20" i="3"/>
  <c r="M21" i="3"/>
  <c r="N21" i="3"/>
  <c r="T21" i="3"/>
  <c r="AH21" i="3"/>
  <c r="O21" i="3"/>
  <c r="P21" i="3"/>
  <c r="Q21" i="3"/>
  <c r="R21" i="3"/>
  <c r="S21" i="3"/>
  <c r="M22" i="3"/>
  <c r="Q22" i="3"/>
  <c r="R22" i="3"/>
  <c r="N22" i="3"/>
  <c r="T22" i="3"/>
  <c r="AH22" i="3"/>
  <c r="O22" i="3"/>
  <c r="M23" i="3"/>
  <c r="Q23" i="3"/>
  <c r="R23" i="3"/>
  <c r="N23" i="3"/>
  <c r="T23" i="3"/>
  <c r="AH23" i="3"/>
  <c r="O23" i="3"/>
  <c r="M24" i="3"/>
  <c r="Q24" i="3"/>
  <c r="R24" i="3"/>
  <c r="N24" i="3"/>
  <c r="O24" i="3"/>
  <c r="M25" i="3"/>
  <c r="Q25" i="3"/>
  <c r="R25" i="3"/>
  <c r="N25" i="3"/>
  <c r="T25" i="3"/>
  <c r="AH25" i="3"/>
  <c r="O25" i="3"/>
  <c r="M26" i="3"/>
  <c r="Q26" i="3"/>
  <c r="R26" i="3"/>
  <c r="N26" i="3"/>
  <c r="O26" i="3"/>
  <c r="M27" i="3"/>
  <c r="Q27" i="3"/>
  <c r="R27" i="3"/>
  <c r="N27" i="3"/>
  <c r="T27" i="3"/>
  <c r="O27" i="3"/>
  <c r="P27" i="3"/>
  <c r="AH27" i="3"/>
  <c r="M28" i="3"/>
  <c r="Q28" i="3"/>
  <c r="R28" i="3"/>
  <c r="N28" i="3"/>
  <c r="O28" i="3"/>
  <c r="M29" i="3"/>
  <c r="N29" i="3"/>
  <c r="T29" i="3"/>
  <c r="AH29" i="3"/>
  <c r="O29" i="3"/>
  <c r="P29" i="3"/>
  <c r="Q29" i="3"/>
  <c r="R29" i="3"/>
  <c r="M30" i="3"/>
  <c r="Q30" i="3"/>
  <c r="R30" i="3"/>
  <c r="N30" i="3"/>
  <c r="O30" i="3"/>
  <c r="M31" i="3"/>
  <c r="N31" i="3"/>
  <c r="T31" i="3"/>
  <c r="O31" i="3"/>
  <c r="P31" i="3"/>
  <c r="Q31" i="3"/>
  <c r="R31" i="3"/>
  <c r="AH31" i="3"/>
  <c r="M32" i="3"/>
  <c r="Q32" i="3"/>
  <c r="R32" i="3"/>
  <c r="N32" i="3"/>
  <c r="O32" i="3"/>
  <c r="M33" i="3"/>
  <c r="Q33" i="3"/>
  <c r="R33" i="3"/>
  <c r="N33" i="3"/>
  <c r="T33" i="3"/>
  <c r="AH33" i="3"/>
  <c r="O33" i="3"/>
  <c r="M34" i="3"/>
  <c r="N34" i="3"/>
  <c r="O34" i="3"/>
  <c r="Q34" i="3"/>
  <c r="R34" i="3"/>
  <c r="M35" i="3"/>
  <c r="N35" i="3"/>
  <c r="T35" i="3"/>
  <c r="AH35" i="3"/>
  <c r="O35" i="3"/>
  <c r="P35" i="3"/>
  <c r="Q35" i="3"/>
  <c r="R35" i="3"/>
  <c r="M36" i="3"/>
  <c r="N36" i="3"/>
  <c r="O36" i="3"/>
  <c r="Q36" i="3"/>
  <c r="R36" i="3"/>
  <c r="M37" i="3"/>
  <c r="N37" i="3"/>
  <c r="T37" i="3"/>
  <c r="O37" i="3"/>
  <c r="P37" i="3"/>
  <c r="Q37" i="3"/>
  <c r="R37" i="3"/>
  <c r="AH37" i="3"/>
  <c r="M38" i="3"/>
  <c r="Q38" i="3"/>
  <c r="R38" i="3"/>
  <c r="N38" i="3"/>
  <c r="T38" i="3"/>
  <c r="AH38" i="3"/>
  <c r="O38" i="3"/>
  <c r="M39" i="3"/>
  <c r="Q39" i="3"/>
  <c r="R39" i="3"/>
  <c r="N39" i="3"/>
  <c r="T39" i="3"/>
  <c r="O39" i="3"/>
  <c r="AH39" i="3"/>
  <c r="M40" i="3"/>
  <c r="Q40" i="3"/>
  <c r="R40" i="3"/>
  <c r="N40" i="3"/>
  <c r="O40" i="3"/>
  <c r="M41" i="3"/>
  <c r="N41" i="3"/>
  <c r="T41" i="3"/>
  <c r="AH41" i="3"/>
  <c r="O41" i="3"/>
  <c r="P41" i="3"/>
  <c r="Q41" i="3"/>
  <c r="R41" i="3"/>
  <c r="M42" i="3"/>
  <c r="Q42" i="3"/>
  <c r="R42" i="3"/>
  <c r="N42" i="3"/>
  <c r="T42" i="3"/>
  <c r="AH42" i="3"/>
  <c r="O42" i="3"/>
  <c r="M43" i="3"/>
  <c r="N43" i="3"/>
  <c r="T43" i="3"/>
  <c r="AH43" i="3"/>
  <c r="O43" i="3"/>
  <c r="Q43" i="3"/>
  <c r="R43" i="3"/>
  <c r="M44" i="3"/>
  <c r="N44" i="3"/>
  <c r="O44" i="3"/>
  <c r="Q44" i="3"/>
  <c r="R44" i="3"/>
  <c r="M45" i="3"/>
  <c r="N45" i="3"/>
  <c r="T45" i="3"/>
  <c r="AH45" i="3"/>
  <c r="O45" i="3"/>
  <c r="P45" i="3"/>
  <c r="Q45" i="3"/>
  <c r="R45" i="3"/>
  <c r="M46" i="3"/>
  <c r="N46" i="3"/>
  <c r="T46" i="3"/>
  <c r="AH46" i="3"/>
  <c r="O46" i="3"/>
  <c r="Q46" i="3"/>
  <c r="R46" i="3"/>
  <c r="M47" i="3"/>
  <c r="N47" i="3"/>
  <c r="T47" i="3"/>
  <c r="O47" i="3"/>
  <c r="P47" i="3"/>
  <c r="Q47" i="3"/>
  <c r="R47" i="3"/>
  <c r="AH47" i="3"/>
  <c r="M48" i="3"/>
  <c r="Q48" i="3"/>
  <c r="R48" i="3"/>
  <c r="N48" i="3"/>
  <c r="O48" i="3"/>
  <c r="M49" i="3"/>
  <c r="N49" i="3"/>
  <c r="T49" i="3"/>
  <c r="O49" i="3"/>
  <c r="P49" i="3"/>
  <c r="Q49" i="3"/>
  <c r="R49" i="3"/>
  <c r="AH49" i="3"/>
  <c r="M50" i="3"/>
  <c r="Q50" i="3"/>
  <c r="R50" i="3"/>
  <c r="N50" i="3"/>
  <c r="T50" i="3"/>
  <c r="O50" i="3"/>
  <c r="AH50" i="3"/>
  <c r="M51" i="3"/>
  <c r="Q51" i="3"/>
  <c r="R51" i="3"/>
  <c r="N51" i="3"/>
  <c r="T51" i="3"/>
  <c r="AH51" i="3"/>
  <c r="O51" i="3"/>
  <c r="M52" i="3"/>
  <c r="Q52" i="3"/>
  <c r="R52" i="3"/>
  <c r="N52" i="3"/>
  <c r="T52" i="3"/>
  <c r="AH52" i="3"/>
  <c r="O52" i="3"/>
  <c r="M53" i="3"/>
  <c r="N53" i="3"/>
  <c r="T53" i="3"/>
  <c r="AH53" i="3"/>
  <c r="O53" i="3"/>
  <c r="P53" i="3"/>
  <c r="Q53" i="3"/>
  <c r="R53" i="3"/>
  <c r="M54" i="3"/>
  <c r="N54" i="3"/>
  <c r="T54" i="3"/>
  <c r="AH54" i="3"/>
  <c r="O54" i="3"/>
  <c r="P54" i="3"/>
  <c r="Q54" i="3"/>
  <c r="R54" i="3"/>
  <c r="M55" i="3"/>
  <c r="N55" i="3"/>
  <c r="T55" i="3"/>
  <c r="O55" i="3"/>
  <c r="P55" i="3"/>
  <c r="Q55" i="3"/>
  <c r="R55" i="3"/>
  <c r="AH55" i="3"/>
  <c r="M56" i="3"/>
  <c r="Q56" i="3"/>
  <c r="R56" i="3"/>
  <c r="N56" i="3"/>
  <c r="O56" i="3"/>
  <c r="M57" i="3"/>
  <c r="N57" i="3"/>
  <c r="T57" i="3"/>
  <c r="O57" i="3"/>
  <c r="P57" i="3"/>
  <c r="Q57" i="3"/>
  <c r="R57" i="3"/>
  <c r="S57" i="3"/>
  <c r="AH57" i="3"/>
  <c r="M58" i="3"/>
  <c r="Q58" i="3"/>
  <c r="R58" i="3"/>
  <c r="N58" i="3"/>
  <c r="O58" i="3"/>
  <c r="M59" i="3"/>
  <c r="Q59" i="3"/>
  <c r="R59" i="3"/>
  <c r="N59" i="3"/>
  <c r="T59" i="3"/>
  <c r="AH59" i="3"/>
  <c r="O59" i="3"/>
  <c r="M60" i="3"/>
  <c r="Q60" i="3"/>
  <c r="R60" i="3"/>
  <c r="N60" i="3"/>
  <c r="T60" i="3"/>
  <c r="O60" i="3"/>
  <c r="AH60" i="3"/>
  <c r="M61" i="3"/>
  <c r="Q61" i="3"/>
  <c r="R61" i="3"/>
  <c r="N61" i="3"/>
  <c r="T61" i="3"/>
  <c r="AH61" i="3"/>
  <c r="O61" i="3"/>
  <c r="P61" i="3"/>
  <c r="M62" i="3"/>
  <c r="Q62" i="3"/>
  <c r="R62" i="3"/>
  <c r="N62" i="3"/>
  <c r="O62" i="3"/>
  <c r="M63" i="3"/>
  <c r="N63" i="3"/>
  <c r="T63" i="3"/>
  <c r="AH63" i="3"/>
  <c r="O63" i="3"/>
  <c r="P63" i="3"/>
  <c r="Q63" i="3"/>
  <c r="R63" i="3"/>
  <c r="M64" i="3"/>
  <c r="Q64" i="3"/>
  <c r="R64" i="3"/>
  <c r="N64" i="3"/>
  <c r="T64" i="3"/>
  <c r="AH64" i="3"/>
  <c r="O64" i="3"/>
  <c r="M65" i="3"/>
  <c r="Q65" i="3"/>
  <c r="R65" i="3"/>
  <c r="N65" i="3"/>
  <c r="T65" i="3"/>
  <c r="AH65" i="3"/>
  <c r="O65" i="3"/>
  <c r="P65" i="3"/>
  <c r="M66" i="3"/>
  <c r="Q66" i="3"/>
  <c r="R66" i="3"/>
  <c r="O66" i="3"/>
  <c r="P66" i="3"/>
  <c r="M67" i="3"/>
  <c r="Q67" i="3"/>
  <c r="R67" i="3"/>
  <c r="N67" i="3"/>
  <c r="T67" i="3"/>
  <c r="O67" i="3"/>
  <c r="P67" i="3"/>
  <c r="AH67" i="3"/>
  <c r="M68" i="3"/>
  <c r="Q68" i="3"/>
  <c r="R68" i="3"/>
  <c r="N68" i="3"/>
  <c r="O68" i="3"/>
  <c r="M69" i="3"/>
  <c r="N69" i="3"/>
  <c r="T69" i="3"/>
  <c r="O69" i="3"/>
  <c r="P69" i="3"/>
  <c r="Q69" i="3"/>
  <c r="R69" i="3"/>
  <c r="S69" i="3"/>
  <c r="AH69" i="3"/>
  <c r="M70" i="3"/>
  <c r="Q70" i="3"/>
  <c r="R70" i="3"/>
  <c r="N70" i="3"/>
  <c r="O70" i="3"/>
  <c r="M71" i="3"/>
  <c r="Q71" i="3"/>
  <c r="R71" i="3"/>
  <c r="N71" i="3"/>
  <c r="T71" i="3"/>
  <c r="AH71" i="3"/>
  <c r="O71" i="3"/>
  <c r="M72" i="3"/>
  <c r="Q72" i="3"/>
  <c r="R72" i="3"/>
  <c r="N72" i="3"/>
  <c r="O72" i="3"/>
  <c r="M73" i="3"/>
  <c r="N73" i="3"/>
  <c r="T73" i="3"/>
  <c r="AH73" i="3"/>
  <c r="O73" i="3"/>
  <c r="P73" i="3"/>
  <c r="Q73" i="3"/>
  <c r="R73" i="3"/>
  <c r="M74" i="3"/>
  <c r="Q74" i="3"/>
  <c r="R74" i="3"/>
  <c r="N74" i="3"/>
  <c r="O74" i="3"/>
  <c r="M75" i="3"/>
  <c r="Q75" i="3"/>
  <c r="R75" i="3"/>
  <c r="N75" i="3"/>
  <c r="T75" i="3"/>
  <c r="AH75" i="3"/>
  <c r="O75" i="3"/>
  <c r="O4" i="3"/>
  <c r="N4" i="3"/>
  <c r="T4" i="3"/>
  <c r="AH4" i="3"/>
  <c r="M4" i="3"/>
  <c r="Q4" i="3"/>
  <c r="R4" i="3"/>
  <c r="S105" i="4"/>
  <c r="P89" i="4"/>
  <c r="P90" i="4"/>
  <c r="P92" i="4"/>
  <c r="P93" i="4"/>
  <c r="P95" i="4"/>
  <c r="P97" i="4"/>
  <c r="P98" i="4"/>
  <c r="P99" i="4"/>
  <c r="P100" i="4"/>
  <c r="P101" i="4"/>
  <c r="P102" i="4"/>
  <c r="P103" i="4"/>
  <c r="P105" i="4"/>
  <c r="J105" i="4"/>
  <c r="I105" i="4"/>
  <c r="H105" i="4"/>
  <c r="O104" i="4"/>
  <c r="N104" i="4"/>
  <c r="Q104" i="4"/>
  <c r="R104" i="4"/>
  <c r="T104" i="4"/>
  <c r="U104" i="4"/>
  <c r="K104" i="4"/>
  <c r="M104" i="4"/>
  <c r="O103" i="4"/>
  <c r="N103" i="4"/>
  <c r="K103" i="4"/>
  <c r="M103" i="4"/>
  <c r="N102" i="4"/>
  <c r="O102" i="4"/>
  <c r="Q102" i="4"/>
  <c r="R102" i="4"/>
  <c r="T102" i="4"/>
  <c r="U102" i="4"/>
  <c r="V102" i="4"/>
  <c r="W102" i="4"/>
  <c r="K102" i="4"/>
  <c r="M102" i="4"/>
  <c r="N101" i="4"/>
  <c r="O101" i="4"/>
  <c r="Q101" i="4"/>
  <c r="R101" i="4"/>
  <c r="T101" i="4"/>
  <c r="U101" i="4"/>
  <c r="V101" i="4"/>
  <c r="K101" i="4"/>
  <c r="M101" i="4"/>
  <c r="O100" i="4"/>
  <c r="N100" i="4"/>
  <c r="K100" i="4"/>
  <c r="M100" i="4"/>
  <c r="O99" i="4"/>
  <c r="N99" i="4"/>
  <c r="K99" i="4"/>
  <c r="M99" i="4"/>
  <c r="N98" i="4"/>
  <c r="O98" i="4"/>
  <c r="Q98" i="4"/>
  <c r="R98" i="4"/>
  <c r="T98" i="4"/>
  <c r="U98" i="4"/>
  <c r="W98" i="4"/>
  <c r="K98" i="4"/>
  <c r="M98" i="4"/>
  <c r="O97" i="4"/>
  <c r="N97" i="4"/>
  <c r="K97" i="4"/>
  <c r="M97" i="4"/>
  <c r="O95" i="4"/>
  <c r="N95" i="4"/>
  <c r="Q95" i="4"/>
  <c r="R95" i="4"/>
  <c r="T95" i="4"/>
  <c r="U95" i="4"/>
  <c r="K95" i="4"/>
  <c r="M95" i="4"/>
  <c r="N93" i="4"/>
  <c r="O93" i="4"/>
  <c r="Q93" i="4"/>
  <c r="R93" i="4"/>
  <c r="T93" i="4"/>
  <c r="U93" i="4"/>
  <c r="K93" i="4"/>
  <c r="M93" i="4"/>
  <c r="N92" i="4"/>
  <c r="O92" i="4"/>
  <c r="Q92" i="4"/>
  <c r="R92" i="4"/>
  <c r="T92" i="4"/>
  <c r="U92" i="4"/>
  <c r="K92" i="4"/>
  <c r="M92" i="4"/>
  <c r="N90" i="4"/>
  <c r="O90" i="4"/>
  <c r="Q90" i="4"/>
  <c r="R90" i="4"/>
  <c r="T90" i="4"/>
  <c r="U90" i="4"/>
  <c r="W90" i="4"/>
  <c r="K90" i="4"/>
  <c r="M90" i="4"/>
  <c r="N89" i="4"/>
  <c r="O89" i="4"/>
  <c r="Q89" i="4"/>
  <c r="K89" i="4"/>
  <c r="K105" i="4"/>
  <c r="S82" i="4"/>
  <c r="J82" i="4"/>
  <c r="I82" i="4"/>
  <c r="H82" i="4"/>
  <c r="O81" i="4"/>
  <c r="N81" i="4"/>
  <c r="Q81" i="4"/>
  <c r="R81" i="4"/>
  <c r="T81" i="4"/>
  <c r="U81" i="4"/>
  <c r="K81" i="4"/>
  <c r="M81" i="4"/>
  <c r="P80" i="4"/>
  <c r="O80" i="4"/>
  <c r="N80" i="4"/>
  <c r="K80" i="4"/>
  <c r="M80" i="4"/>
  <c r="N79" i="4"/>
  <c r="O79" i="4"/>
  <c r="P79" i="4"/>
  <c r="Q79" i="4"/>
  <c r="R79" i="4"/>
  <c r="T79" i="4"/>
  <c r="U79" i="4"/>
  <c r="V79" i="4"/>
  <c r="W79" i="4"/>
  <c r="K79" i="4"/>
  <c r="M79" i="4"/>
  <c r="N78" i="4"/>
  <c r="O78" i="4"/>
  <c r="P78" i="4"/>
  <c r="Q78" i="4"/>
  <c r="R78" i="4"/>
  <c r="T78" i="4"/>
  <c r="U78" i="4"/>
  <c r="V78" i="4"/>
  <c r="K78" i="4"/>
  <c r="M78" i="4"/>
  <c r="P77" i="4"/>
  <c r="P67" i="4"/>
  <c r="P68" i="4"/>
  <c r="P69" i="4"/>
  <c r="P71" i="4"/>
  <c r="P73" i="4"/>
  <c r="P74" i="4"/>
  <c r="P75" i="4"/>
  <c r="P76" i="4"/>
  <c r="P82" i="4"/>
  <c r="O77" i="4"/>
  <c r="N77" i="4"/>
  <c r="K77" i="4"/>
  <c r="M77" i="4"/>
  <c r="O76" i="4"/>
  <c r="N76" i="4"/>
  <c r="K76" i="4"/>
  <c r="M76" i="4"/>
  <c r="N75" i="4"/>
  <c r="O75" i="4"/>
  <c r="Q75" i="4"/>
  <c r="R75" i="4"/>
  <c r="T75" i="4"/>
  <c r="U75" i="4"/>
  <c r="W75" i="4"/>
  <c r="K75" i="4"/>
  <c r="M75" i="4"/>
  <c r="O74" i="4"/>
  <c r="N74" i="4"/>
  <c r="K74" i="4"/>
  <c r="M74" i="4"/>
  <c r="O73" i="4"/>
  <c r="N73" i="4"/>
  <c r="Q73" i="4"/>
  <c r="R73" i="4"/>
  <c r="T73" i="4"/>
  <c r="U73" i="4"/>
  <c r="K73" i="4"/>
  <c r="M73" i="4"/>
  <c r="N71" i="4"/>
  <c r="O71" i="4"/>
  <c r="Q71" i="4"/>
  <c r="R71" i="4"/>
  <c r="T71" i="4"/>
  <c r="U71" i="4"/>
  <c r="K71" i="4"/>
  <c r="N69" i="4"/>
  <c r="O69" i="4"/>
  <c r="Q69" i="4"/>
  <c r="R69" i="4"/>
  <c r="T69" i="4"/>
  <c r="U69" i="4"/>
  <c r="K69" i="4"/>
  <c r="M69" i="4"/>
  <c r="O68" i="4"/>
  <c r="N68" i="4"/>
  <c r="Q68" i="4"/>
  <c r="R68" i="4"/>
  <c r="T68" i="4"/>
  <c r="U68" i="4"/>
  <c r="K68" i="4"/>
  <c r="M68" i="4"/>
  <c r="O67" i="4"/>
  <c r="N67" i="4"/>
  <c r="K67" i="4"/>
  <c r="S61" i="4"/>
  <c r="S47" i="4"/>
  <c r="S34" i="4"/>
  <c r="S17" i="4"/>
  <c r="S62" i="4"/>
  <c r="J61" i="4"/>
  <c r="I61" i="4"/>
  <c r="H61" i="4"/>
  <c r="N60" i="4"/>
  <c r="O60" i="4"/>
  <c r="P60" i="4"/>
  <c r="Q60" i="4"/>
  <c r="R60" i="4"/>
  <c r="T60" i="4"/>
  <c r="U60" i="4"/>
  <c r="V60" i="4"/>
  <c r="K60" i="4"/>
  <c r="M60" i="4"/>
  <c r="N59" i="4"/>
  <c r="O59" i="4"/>
  <c r="P59" i="4"/>
  <c r="Q59" i="4"/>
  <c r="R59" i="4"/>
  <c r="T59" i="4"/>
  <c r="U59" i="4"/>
  <c r="K59" i="4"/>
  <c r="M59" i="4"/>
  <c r="N58" i="4"/>
  <c r="O58" i="4"/>
  <c r="P58" i="4"/>
  <c r="Q58" i="4"/>
  <c r="R58" i="4"/>
  <c r="T58" i="4"/>
  <c r="U58" i="4"/>
  <c r="K58" i="4"/>
  <c r="M58" i="4"/>
  <c r="P57" i="4"/>
  <c r="O57" i="4"/>
  <c r="N57" i="4"/>
  <c r="K57" i="4"/>
  <c r="M57" i="4"/>
  <c r="N56" i="4"/>
  <c r="O56" i="4"/>
  <c r="P56" i="4"/>
  <c r="Q56" i="4"/>
  <c r="R56" i="4"/>
  <c r="T56" i="4"/>
  <c r="U56" i="4"/>
  <c r="W56" i="4"/>
  <c r="V56" i="4"/>
  <c r="K56" i="4"/>
  <c r="M56" i="4"/>
  <c r="P55" i="4"/>
  <c r="O55" i="4"/>
  <c r="N55" i="4"/>
  <c r="K55" i="4"/>
  <c r="M55" i="4"/>
  <c r="N54" i="4"/>
  <c r="O54" i="4"/>
  <c r="P54" i="4"/>
  <c r="Q54" i="4"/>
  <c r="R54" i="4"/>
  <c r="T54" i="4"/>
  <c r="U54" i="4"/>
  <c r="V54" i="4"/>
  <c r="W54" i="4"/>
  <c r="K54" i="4"/>
  <c r="M54" i="4"/>
  <c r="P53" i="4"/>
  <c r="O53" i="4"/>
  <c r="N53" i="4"/>
  <c r="K53" i="4"/>
  <c r="M53" i="4"/>
  <c r="N52" i="4"/>
  <c r="O52" i="4"/>
  <c r="P52" i="4"/>
  <c r="Q52" i="4"/>
  <c r="R52" i="4"/>
  <c r="T52" i="4"/>
  <c r="U52" i="4"/>
  <c r="V52" i="4"/>
  <c r="K52" i="4"/>
  <c r="M52" i="4"/>
  <c r="P51" i="4"/>
  <c r="P61" i="4"/>
  <c r="O51" i="4"/>
  <c r="N51" i="4"/>
  <c r="K51" i="4"/>
  <c r="K61" i="4"/>
  <c r="J47" i="4"/>
  <c r="I47" i="4"/>
  <c r="H47" i="4"/>
  <c r="N46" i="4"/>
  <c r="O46" i="4"/>
  <c r="P46" i="4"/>
  <c r="Q46" i="4"/>
  <c r="R46" i="4"/>
  <c r="T46" i="4"/>
  <c r="U46" i="4"/>
  <c r="V46" i="4"/>
  <c r="K46" i="4"/>
  <c r="M46" i="4"/>
  <c r="N45" i="4"/>
  <c r="O45" i="4"/>
  <c r="P45" i="4"/>
  <c r="Q45" i="4"/>
  <c r="R45" i="4"/>
  <c r="T45" i="4"/>
  <c r="U45" i="4"/>
  <c r="K45" i="4"/>
  <c r="M45" i="4"/>
  <c r="P44" i="4"/>
  <c r="O44" i="4"/>
  <c r="N44" i="4"/>
  <c r="Q44" i="4"/>
  <c r="R44" i="4"/>
  <c r="T44" i="4"/>
  <c r="U44" i="4"/>
  <c r="K44" i="4"/>
  <c r="M44" i="4"/>
  <c r="P43" i="4"/>
  <c r="O43" i="4"/>
  <c r="N43" i="4"/>
  <c r="K43" i="4"/>
  <c r="M43" i="4"/>
  <c r="N42" i="4"/>
  <c r="O42" i="4"/>
  <c r="P42" i="4"/>
  <c r="Q42" i="4"/>
  <c r="R42" i="4"/>
  <c r="T42" i="4"/>
  <c r="U42" i="4"/>
  <c r="W42" i="4"/>
  <c r="K42" i="4"/>
  <c r="M42" i="4"/>
  <c r="N41" i="4"/>
  <c r="O41" i="4"/>
  <c r="P41" i="4"/>
  <c r="Q41" i="4"/>
  <c r="R41" i="4"/>
  <c r="T41" i="4"/>
  <c r="U41" i="4"/>
  <c r="K41" i="4"/>
  <c r="M41" i="4"/>
  <c r="N40" i="4"/>
  <c r="O40" i="4"/>
  <c r="P40" i="4"/>
  <c r="Q40" i="4"/>
  <c r="R40" i="4"/>
  <c r="T40" i="4"/>
  <c r="U40" i="4"/>
  <c r="W40" i="4"/>
  <c r="K40" i="4"/>
  <c r="M40" i="4"/>
  <c r="P39" i="4"/>
  <c r="P38" i="4"/>
  <c r="P47" i="4"/>
  <c r="O39" i="4"/>
  <c r="N39" i="4"/>
  <c r="K39" i="4"/>
  <c r="M39" i="4"/>
  <c r="O38" i="4"/>
  <c r="N38" i="4"/>
  <c r="N47" i="4"/>
  <c r="K38" i="4"/>
  <c r="M38" i="4"/>
  <c r="J34" i="4"/>
  <c r="J17" i="4"/>
  <c r="J62" i="4"/>
  <c r="I34" i="4"/>
  <c r="I17" i="4"/>
  <c r="I62" i="4"/>
  <c r="H34" i="4"/>
  <c r="P33" i="4"/>
  <c r="N33" i="4"/>
  <c r="O33" i="4"/>
  <c r="Q33" i="4"/>
  <c r="R33" i="4"/>
  <c r="T33" i="4"/>
  <c r="U33" i="4"/>
  <c r="K33" i="4"/>
  <c r="M33" i="4"/>
  <c r="P32" i="4"/>
  <c r="N32" i="4"/>
  <c r="O32" i="4"/>
  <c r="Q32" i="4"/>
  <c r="R32" i="4"/>
  <c r="T32" i="4"/>
  <c r="U32" i="4"/>
  <c r="K32" i="4"/>
  <c r="M32" i="4"/>
  <c r="N31" i="4"/>
  <c r="O31" i="4"/>
  <c r="P31" i="4"/>
  <c r="Q31" i="4"/>
  <c r="R31" i="4"/>
  <c r="T31" i="4"/>
  <c r="U31" i="4"/>
  <c r="K31" i="4"/>
  <c r="M31" i="4"/>
  <c r="P30" i="4"/>
  <c r="O30" i="4"/>
  <c r="N30" i="4"/>
  <c r="Q30" i="4"/>
  <c r="R30" i="4"/>
  <c r="T30" i="4"/>
  <c r="U30" i="4"/>
  <c r="K30" i="4"/>
  <c r="M30" i="4"/>
  <c r="P29" i="4"/>
  <c r="N29" i="4"/>
  <c r="O29" i="4"/>
  <c r="Q29" i="4"/>
  <c r="R29" i="4"/>
  <c r="T29" i="4"/>
  <c r="U29" i="4"/>
  <c r="K29" i="4"/>
  <c r="M29" i="4"/>
  <c r="N28" i="4"/>
  <c r="O28" i="4"/>
  <c r="P28" i="4"/>
  <c r="Q28" i="4"/>
  <c r="R28" i="4"/>
  <c r="T28" i="4"/>
  <c r="U28" i="4"/>
  <c r="K28" i="4"/>
  <c r="M28" i="4"/>
  <c r="P27" i="4"/>
  <c r="O27" i="4"/>
  <c r="N27" i="4"/>
  <c r="Q27" i="4"/>
  <c r="R27" i="4"/>
  <c r="T27" i="4"/>
  <c r="U27" i="4"/>
  <c r="K27" i="4"/>
  <c r="M27" i="4"/>
  <c r="P26" i="4"/>
  <c r="O26" i="4"/>
  <c r="N26" i="4"/>
  <c r="Q26" i="4"/>
  <c r="R26" i="4"/>
  <c r="T26" i="4"/>
  <c r="U26" i="4"/>
  <c r="K26" i="4"/>
  <c r="M26" i="4"/>
  <c r="N25" i="4"/>
  <c r="O25" i="4"/>
  <c r="P25" i="4"/>
  <c r="Q25" i="4"/>
  <c r="R25" i="4"/>
  <c r="T25" i="4"/>
  <c r="U25" i="4"/>
  <c r="K25" i="4"/>
  <c r="M25" i="4"/>
  <c r="P24" i="4"/>
  <c r="O24" i="4"/>
  <c r="N24" i="4"/>
  <c r="Q24" i="4"/>
  <c r="R24" i="4"/>
  <c r="T24" i="4"/>
  <c r="U24" i="4"/>
  <c r="K24" i="4"/>
  <c r="M24" i="4"/>
  <c r="P23" i="4"/>
  <c r="O23" i="4"/>
  <c r="N23" i="4"/>
  <c r="K23" i="4"/>
  <c r="M23" i="4"/>
  <c r="N22" i="4"/>
  <c r="O22" i="4"/>
  <c r="P22" i="4"/>
  <c r="Q22" i="4"/>
  <c r="R22" i="4"/>
  <c r="T22" i="4"/>
  <c r="U22" i="4"/>
  <c r="O21" i="4"/>
  <c r="O34" i="4"/>
  <c r="K22" i="4"/>
  <c r="M22" i="4"/>
  <c r="P21" i="4"/>
  <c r="N21" i="4"/>
  <c r="N34" i="4"/>
  <c r="K21" i="4"/>
  <c r="M21" i="4"/>
  <c r="H17" i="4"/>
  <c r="N16" i="4"/>
  <c r="O16" i="4"/>
  <c r="P16" i="4"/>
  <c r="Q16" i="4"/>
  <c r="R16" i="4"/>
  <c r="T16" i="4"/>
  <c r="U16" i="4"/>
  <c r="K16" i="4"/>
  <c r="M16" i="4"/>
  <c r="P15" i="4"/>
  <c r="O15" i="4"/>
  <c r="N15" i="4"/>
  <c r="Q15" i="4"/>
  <c r="R15" i="4"/>
  <c r="T15" i="4"/>
  <c r="U15" i="4"/>
  <c r="K15" i="4"/>
  <c r="M15" i="4"/>
  <c r="AA14" i="4"/>
  <c r="AB12" i="4"/>
  <c r="N14" i="4"/>
  <c r="O14" i="4"/>
  <c r="P14" i="4"/>
  <c r="Q14" i="4"/>
  <c r="R14" i="4"/>
  <c r="T14" i="4"/>
  <c r="U14" i="4"/>
  <c r="K14" i="4"/>
  <c r="M14" i="4"/>
  <c r="N13" i="4"/>
  <c r="O13" i="4"/>
  <c r="P13" i="4"/>
  <c r="Q13" i="4"/>
  <c r="R13" i="4"/>
  <c r="T13" i="4"/>
  <c r="U13" i="4"/>
  <c r="K13" i="4"/>
  <c r="M13" i="4"/>
  <c r="P12" i="4"/>
  <c r="O12" i="4"/>
  <c r="N12" i="4"/>
  <c r="Q12" i="4"/>
  <c r="R12" i="4"/>
  <c r="T12" i="4"/>
  <c r="U12" i="4"/>
  <c r="K12" i="4"/>
  <c r="M12" i="4"/>
  <c r="AB11" i="4"/>
  <c r="P11" i="4"/>
  <c r="O11" i="4"/>
  <c r="N11" i="4"/>
  <c r="Q11" i="4"/>
  <c r="R11" i="4"/>
  <c r="T11" i="4"/>
  <c r="U11" i="4"/>
  <c r="K11" i="4"/>
  <c r="M11" i="4"/>
  <c r="AB10" i="4"/>
  <c r="N10" i="4"/>
  <c r="O10" i="4"/>
  <c r="P10" i="4"/>
  <c r="Q10" i="4"/>
  <c r="R10" i="4"/>
  <c r="T10" i="4"/>
  <c r="U10" i="4"/>
  <c r="K10" i="4"/>
  <c r="M10" i="4"/>
  <c r="P9" i="4"/>
  <c r="N9" i="4"/>
  <c r="O9" i="4"/>
  <c r="Q9" i="4"/>
  <c r="R9" i="4"/>
  <c r="T9" i="4"/>
  <c r="U9" i="4"/>
  <c r="K9" i="4"/>
  <c r="M9" i="4"/>
  <c r="P8" i="4"/>
  <c r="N8" i="4"/>
  <c r="O8" i="4"/>
  <c r="Q8" i="4"/>
  <c r="K8" i="4"/>
  <c r="M8" i="4"/>
  <c r="N7" i="4"/>
  <c r="O7" i="4"/>
  <c r="P7" i="4"/>
  <c r="Q7" i="4"/>
  <c r="R7" i="4"/>
  <c r="P17" i="4"/>
  <c r="K7" i="4"/>
  <c r="M7" i="4"/>
  <c r="S55" i="3"/>
  <c r="Y55" i="3"/>
  <c r="AM55" i="3"/>
  <c r="S35" i="3"/>
  <c r="P30" i="3"/>
  <c r="P18" i="3"/>
  <c r="S18" i="3"/>
  <c r="S65" i="3"/>
  <c r="Y65" i="3"/>
  <c r="AM65" i="3"/>
  <c r="P51" i="3"/>
  <c r="S51" i="3"/>
  <c r="P43" i="3"/>
  <c r="S43" i="3"/>
  <c r="V43" i="3"/>
  <c r="AJ43" i="3"/>
  <c r="P39" i="3"/>
  <c r="S39" i="3"/>
  <c r="U39" i="3"/>
  <c r="AI39" i="3"/>
  <c r="S27" i="3"/>
  <c r="Y27" i="3"/>
  <c r="AM27" i="3"/>
  <c r="P14" i="3"/>
  <c r="S14" i="3"/>
  <c r="P11" i="3"/>
  <c r="S11" i="3"/>
  <c r="Z11" i="3"/>
  <c r="AN11" i="3"/>
  <c r="P6" i="3"/>
  <c r="S67" i="3"/>
  <c r="X67" i="3"/>
  <c r="AL67" i="3"/>
  <c r="S45" i="3"/>
  <c r="S41" i="3"/>
  <c r="Y41" i="3"/>
  <c r="AM41" i="3"/>
  <c r="P75" i="3"/>
  <c r="S75" i="3"/>
  <c r="P64" i="3"/>
  <c r="P59" i="3"/>
  <c r="P23" i="3"/>
  <c r="S23" i="3"/>
  <c r="Y23" i="3"/>
  <c r="AM23" i="3"/>
  <c r="M6" i="5"/>
  <c r="Q6" i="5"/>
  <c r="O13" i="5"/>
  <c r="P13" i="5"/>
  <c r="S13" i="5"/>
  <c r="S61" i="3"/>
  <c r="U51" i="3"/>
  <c r="AI51" i="3"/>
  <c r="Y51" i="3"/>
  <c r="AM51" i="3"/>
  <c r="W51" i="3"/>
  <c r="AK51" i="3"/>
  <c r="X51" i="3"/>
  <c r="AL51" i="3"/>
  <c r="V51" i="3"/>
  <c r="AJ51" i="3"/>
  <c r="Z51" i="3"/>
  <c r="AN51" i="3"/>
  <c r="U23" i="3"/>
  <c r="AI23" i="3"/>
  <c r="V23" i="3"/>
  <c r="AJ23" i="3"/>
  <c r="Z23" i="3"/>
  <c r="AN23" i="3"/>
  <c r="X23" i="3"/>
  <c r="AL23" i="3"/>
  <c r="P70" i="3"/>
  <c r="S70" i="3"/>
  <c r="T70" i="3"/>
  <c r="AH70" i="3"/>
  <c r="P68" i="3"/>
  <c r="S68" i="3"/>
  <c r="T68" i="3"/>
  <c r="AH68" i="3"/>
  <c r="P58" i="3"/>
  <c r="S58" i="3"/>
  <c r="T58" i="3"/>
  <c r="AH58" i="3"/>
  <c r="P40" i="3"/>
  <c r="S40" i="3"/>
  <c r="T40" i="3"/>
  <c r="AH40" i="3"/>
  <c r="U35" i="3"/>
  <c r="AI35" i="3"/>
  <c r="Y35" i="3"/>
  <c r="AM35" i="3"/>
  <c r="V35" i="3"/>
  <c r="AJ35" i="3"/>
  <c r="Z35" i="3"/>
  <c r="AN35" i="3"/>
  <c r="X35" i="3"/>
  <c r="AL35" i="3"/>
  <c r="W35" i="3"/>
  <c r="AK35" i="3"/>
  <c r="P72" i="3"/>
  <c r="S72" i="3"/>
  <c r="T72" i="3"/>
  <c r="AH72" i="3"/>
  <c r="U69" i="3"/>
  <c r="AI69" i="3"/>
  <c r="Y69" i="3"/>
  <c r="AM69" i="3"/>
  <c r="W69" i="3"/>
  <c r="AK69" i="3"/>
  <c r="V69" i="3"/>
  <c r="AJ69" i="3"/>
  <c r="Z69" i="3"/>
  <c r="AN69" i="3"/>
  <c r="X69" i="3"/>
  <c r="AL69" i="3"/>
  <c r="W67" i="3"/>
  <c r="AK67" i="3"/>
  <c r="U65" i="3"/>
  <c r="AI65" i="3"/>
  <c r="X65" i="3"/>
  <c r="AL65" i="3"/>
  <c r="U57" i="3"/>
  <c r="AI57" i="3"/>
  <c r="Y57" i="3"/>
  <c r="AM57" i="3"/>
  <c r="W57" i="3"/>
  <c r="AK57" i="3"/>
  <c r="Z57" i="3"/>
  <c r="AN57" i="3"/>
  <c r="X57" i="3"/>
  <c r="AL57" i="3"/>
  <c r="V57" i="3"/>
  <c r="AJ57" i="3"/>
  <c r="U55" i="3"/>
  <c r="AI55" i="3"/>
  <c r="V55" i="3"/>
  <c r="AJ55" i="3"/>
  <c r="P48" i="3"/>
  <c r="S48" i="3"/>
  <c r="T48" i="3"/>
  <c r="AH48" i="3"/>
  <c r="U27" i="3"/>
  <c r="AI27" i="3"/>
  <c r="X27" i="3"/>
  <c r="AL27" i="3"/>
  <c r="P62" i="3"/>
  <c r="S62" i="3"/>
  <c r="T62" i="3"/>
  <c r="AH62" i="3"/>
  <c r="U41" i="3"/>
  <c r="AI41" i="3"/>
  <c r="V41" i="3"/>
  <c r="AJ41" i="3"/>
  <c r="Z41" i="3"/>
  <c r="AN41" i="3"/>
  <c r="X41" i="3"/>
  <c r="AL41" i="3"/>
  <c r="P71" i="3"/>
  <c r="S71" i="3"/>
  <c r="S49" i="3"/>
  <c r="S47" i="3"/>
  <c r="U45" i="3"/>
  <c r="AI45" i="3"/>
  <c r="Y45" i="3"/>
  <c r="AM45" i="3"/>
  <c r="V45" i="3"/>
  <c r="AJ45" i="3"/>
  <c r="Z45" i="3"/>
  <c r="AN45" i="3"/>
  <c r="X45" i="3"/>
  <c r="AL45" i="3"/>
  <c r="W45" i="3"/>
  <c r="AK45" i="3"/>
  <c r="U43" i="3"/>
  <c r="AI43" i="3"/>
  <c r="Y43" i="3"/>
  <c r="AM43" i="3"/>
  <c r="Z43" i="3"/>
  <c r="AN43" i="3"/>
  <c r="X43" i="3"/>
  <c r="AL43" i="3"/>
  <c r="W43" i="3"/>
  <c r="AK43" i="3"/>
  <c r="V39" i="3"/>
  <c r="AJ39" i="3"/>
  <c r="Z39" i="3"/>
  <c r="AN39" i="3"/>
  <c r="S37" i="3"/>
  <c r="P33" i="3"/>
  <c r="S33" i="3"/>
  <c r="S31" i="3"/>
  <c r="W14" i="3"/>
  <c r="AK14" i="3"/>
  <c r="X14" i="3"/>
  <c r="AL14" i="3"/>
  <c r="Z14" i="3"/>
  <c r="AN14" i="3"/>
  <c r="V14" i="3"/>
  <c r="AJ14" i="3"/>
  <c r="U11" i="3"/>
  <c r="AI11" i="3"/>
  <c r="Y11" i="3"/>
  <c r="AM11" i="3"/>
  <c r="V11" i="3"/>
  <c r="AJ11" i="3"/>
  <c r="X11" i="3"/>
  <c r="AL11" i="3"/>
  <c r="S66" i="3"/>
  <c r="S64" i="3"/>
  <c r="S63" i="3"/>
  <c r="S54" i="3"/>
  <c r="S53" i="3"/>
  <c r="P32" i="3"/>
  <c r="S32" i="3"/>
  <c r="T32" i="3"/>
  <c r="AH32" i="3"/>
  <c r="S29" i="3"/>
  <c r="S17" i="3"/>
  <c r="Y14" i="3"/>
  <c r="AM14" i="3"/>
  <c r="U21" i="3"/>
  <c r="AI21" i="3"/>
  <c r="Y21" i="3"/>
  <c r="AM21" i="3"/>
  <c r="V21" i="3"/>
  <c r="AJ21" i="3"/>
  <c r="Z21" i="3"/>
  <c r="AN21" i="3"/>
  <c r="X21" i="3"/>
  <c r="AL21" i="3"/>
  <c r="W21" i="3"/>
  <c r="AK21" i="3"/>
  <c r="S15" i="3"/>
  <c r="U9" i="3"/>
  <c r="AI9" i="3"/>
  <c r="Y9" i="3"/>
  <c r="AM9" i="3"/>
  <c r="V9" i="3"/>
  <c r="AJ9" i="3"/>
  <c r="Z9" i="3"/>
  <c r="AN9" i="3"/>
  <c r="X9" i="3"/>
  <c r="AL9" i="3"/>
  <c r="S73" i="3"/>
  <c r="P74" i="3"/>
  <c r="S74" i="3"/>
  <c r="T74" i="3"/>
  <c r="AH74" i="3"/>
  <c r="P46" i="3"/>
  <c r="S46" i="3"/>
  <c r="P44" i="3"/>
  <c r="S44" i="3"/>
  <c r="T44" i="3"/>
  <c r="AH44" i="3"/>
  <c r="P38" i="3"/>
  <c r="S38" i="3"/>
  <c r="P36" i="3"/>
  <c r="S36" i="3"/>
  <c r="T36" i="3"/>
  <c r="AH36" i="3"/>
  <c r="P34" i="3"/>
  <c r="S34" i="3"/>
  <c r="P25" i="3"/>
  <c r="S25" i="3"/>
  <c r="P24" i="3"/>
  <c r="S24" i="3"/>
  <c r="T24" i="3"/>
  <c r="AH24" i="3"/>
  <c r="P19" i="3"/>
  <c r="S19" i="3"/>
  <c r="P12" i="3"/>
  <c r="S12" i="3"/>
  <c r="T12" i="3"/>
  <c r="AH12" i="3"/>
  <c r="P10" i="3"/>
  <c r="S10" i="3"/>
  <c r="T10" i="3"/>
  <c r="AH10" i="3"/>
  <c r="P7" i="3"/>
  <c r="S7" i="3"/>
  <c r="U14" i="3"/>
  <c r="AI14" i="3"/>
  <c r="T34" i="3"/>
  <c r="AH34" i="3"/>
  <c r="T14" i="3"/>
  <c r="AH14" i="3"/>
  <c r="S13" i="3"/>
  <c r="P60" i="3"/>
  <c r="S60" i="3"/>
  <c r="P56" i="3"/>
  <c r="S56" i="3"/>
  <c r="T56" i="3"/>
  <c r="AH56" i="3"/>
  <c r="P52" i="3"/>
  <c r="S52" i="3"/>
  <c r="P50" i="3"/>
  <c r="S50" i="3"/>
  <c r="S30" i="3"/>
  <c r="P28" i="3"/>
  <c r="S28" i="3"/>
  <c r="T28" i="3"/>
  <c r="AH28" i="3"/>
  <c r="P26" i="3"/>
  <c r="S26" i="3"/>
  <c r="T26" i="3"/>
  <c r="AH26" i="3"/>
  <c r="P20" i="3"/>
  <c r="S20" i="3"/>
  <c r="T20" i="3"/>
  <c r="AH20" i="3"/>
  <c r="P16" i="3"/>
  <c r="T16" i="3"/>
  <c r="AH16" i="3"/>
  <c r="S6" i="3"/>
  <c r="W9" i="3"/>
  <c r="AK9" i="3"/>
  <c r="T30" i="3"/>
  <c r="AH30" i="3"/>
  <c r="T6" i="3"/>
  <c r="AH6" i="3"/>
  <c r="P22" i="3"/>
  <c r="S22" i="3"/>
  <c r="P8" i="3"/>
  <c r="S8" i="3"/>
  <c r="T8" i="3"/>
  <c r="AH8" i="3"/>
  <c r="R6" i="5"/>
  <c r="M49" i="5"/>
  <c r="Q49" i="5"/>
  <c r="R49" i="5"/>
  <c r="M41" i="5"/>
  <c r="Q41" i="5"/>
  <c r="R41" i="5"/>
  <c r="M33" i="5"/>
  <c r="Q33" i="5"/>
  <c r="R33" i="5"/>
  <c r="M31" i="5"/>
  <c r="Q31" i="5"/>
  <c r="R31" i="5"/>
  <c r="M29" i="5"/>
  <c r="Q29" i="5"/>
  <c r="R29" i="5"/>
  <c r="M27" i="5"/>
  <c r="Q27" i="5"/>
  <c r="R27" i="5"/>
  <c r="M22" i="5"/>
  <c r="Q22" i="5"/>
  <c r="R22" i="5"/>
  <c r="M20" i="5"/>
  <c r="Q20" i="5"/>
  <c r="R20" i="5"/>
  <c r="M18" i="5"/>
  <c r="Q18" i="5"/>
  <c r="R18" i="5"/>
  <c r="Y13" i="5"/>
  <c r="AM13" i="5"/>
  <c r="U13" i="5"/>
  <c r="AI13" i="5"/>
  <c r="X13" i="5"/>
  <c r="AL13" i="5"/>
  <c r="W13" i="5"/>
  <c r="AK13" i="5"/>
  <c r="Z13" i="5"/>
  <c r="AN13" i="5"/>
  <c r="V13" i="5"/>
  <c r="AJ13" i="5"/>
  <c r="M52" i="5"/>
  <c r="Q52" i="5"/>
  <c r="R52" i="5"/>
  <c r="M47" i="5"/>
  <c r="Q47" i="5"/>
  <c r="R47" i="5"/>
  <c r="O44" i="5"/>
  <c r="P44" i="5"/>
  <c r="S44" i="5"/>
  <c r="M39" i="5"/>
  <c r="Q39" i="5"/>
  <c r="R39" i="5"/>
  <c r="M36" i="5"/>
  <c r="Q36" i="5"/>
  <c r="R36" i="5"/>
  <c r="M25" i="5"/>
  <c r="Q25" i="5"/>
  <c r="R25" i="5"/>
  <c r="M16" i="5"/>
  <c r="Q16" i="5"/>
  <c r="R16" i="5"/>
  <c r="M9" i="5"/>
  <c r="Q9" i="5"/>
  <c r="R9" i="5"/>
  <c r="P19" i="5"/>
  <c r="S19" i="5"/>
  <c r="S10" i="5"/>
  <c r="P26" i="5"/>
  <c r="P45" i="5"/>
  <c r="S45" i="5"/>
  <c r="P51" i="5"/>
  <c r="S51" i="5"/>
  <c r="X51" i="5"/>
  <c r="AL51" i="5"/>
  <c r="P30" i="5"/>
  <c r="P23" i="5"/>
  <c r="S23" i="5"/>
  <c r="X23" i="5"/>
  <c r="AL23" i="5"/>
  <c r="P46" i="5"/>
  <c r="S46" i="5"/>
  <c r="Y46" i="5"/>
  <c r="AM46" i="5"/>
  <c r="P42" i="5"/>
  <c r="S42" i="5"/>
  <c r="X42" i="5"/>
  <c r="AL42" i="5"/>
  <c r="P37" i="5"/>
  <c r="S37" i="5"/>
  <c r="W37" i="5"/>
  <c r="AK37" i="5"/>
  <c r="P17" i="5"/>
  <c r="S17" i="5"/>
  <c r="Z17" i="5"/>
  <c r="AN17" i="5"/>
  <c r="P28" i="5"/>
  <c r="S28" i="5"/>
  <c r="P14" i="5"/>
  <c r="S14" i="5"/>
  <c r="X14" i="5"/>
  <c r="AL14" i="5"/>
  <c r="P21" i="5"/>
  <c r="S21" i="5"/>
  <c r="P15" i="5"/>
  <c r="S15" i="5"/>
  <c r="U15" i="5"/>
  <c r="AI15" i="5"/>
  <c r="P8" i="5"/>
  <c r="S8" i="5"/>
  <c r="Y8" i="5"/>
  <c r="AM8" i="5"/>
  <c r="P48" i="5"/>
  <c r="S48" i="5"/>
  <c r="W48" i="5"/>
  <c r="AK48" i="5"/>
  <c r="P50" i="5"/>
  <c r="S50" i="5"/>
  <c r="V50" i="5"/>
  <c r="AJ50" i="5"/>
  <c r="P43" i="5"/>
  <c r="S43" i="5"/>
  <c r="P7" i="5"/>
  <c r="S7" i="5"/>
  <c r="Z7" i="5"/>
  <c r="AN7" i="5"/>
  <c r="P4" i="5"/>
  <c r="S4" i="5"/>
  <c r="U4" i="5"/>
  <c r="AI4" i="5"/>
  <c r="P34" i="5"/>
  <c r="P12" i="5"/>
  <c r="S12" i="5"/>
  <c r="P24" i="5"/>
  <c r="S24" i="5"/>
  <c r="U24" i="5"/>
  <c r="AI24" i="5"/>
  <c r="P5" i="5"/>
  <c r="S5" i="5"/>
  <c r="P32" i="5"/>
  <c r="S32" i="5"/>
  <c r="U32" i="5"/>
  <c r="AI32" i="5"/>
  <c r="R26" i="5"/>
  <c r="R34" i="5"/>
  <c r="R30" i="5"/>
  <c r="P38" i="5"/>
  <c r="S38" i="5"/>
  <c r="P35" i="5"/>
  <c r="S35" i="5"/>
  <c r="P40" i="5"/>
  <c r="S40" i="5"/>
  <c r="P42" i="3"/>
  <c r="S42" i="3"/>
  <c r="S59" i="3"/>
  <c r="S5" i="3"/>
  <c r="P4" i="3"/>
  <c r="S4" i="3"/>
  <c r="W12" i="4"/>
  <c r="V12" i="4"/>
  <c r="W15" i="4"/>
  <c r="V15" i="4"/>
  <c r="V16" i="4"/>
  <c r="W16" i="4"/>
  <c r="W25" i="4"/>
  <c r="V25" i="4"/>
  <c r="V26" i="4"/>
  <c r="W26" i="4"/>
  <c r="J106" i="4"/>
  <c r="J83" i="4"/>
  <c r="J84" i="4"/>
  <c r="W41" i="4"/>
  <c r="V41" i="4"/>
  <c r="V45" i="4"/>
  <c r="W45" i="4"/>
  <c r="W73" i="4"/>
  <c r="V73" i="4"/>
  <c r="W10" i="4"/>
  <c r="V10" i="4"/>
  <c r="W11" i="4"/>
  <c r="V11" i="4"/>
  <c r="W14" i="4"/>
  <c r="V14" i="4"/>
  <c r="W24" i="4"/>
  <c r="V24" i="4"/>
  <c r="V31" i="4"/>
  <c r="W31" i="4"/>
  <c r="W32" i="4"/>
  <c r="V32" i="4"/>
  <c r="V33" i="4"/>
  <c r="W33" i="4"/>
  <c r="W44" i="4"/>
  <c r="V44" i="4"/>
  <c r="W58" i="4"/>
  <c r="V58" i="4"/>
  <c r="W68" i="4"/>
  <c r="V68" i="4"/>
  <c r="W95" i="4"/>
  <c r="V95" i="4"/>
  <c r="V22" i="4"/>
  <c r="W22" i="4"/>
  <c r="W30" i="4"/>
  <c r="V30" i="4"/>
  <c r="P34" i="4"/>
  <c r="P62" i="4"/>
  <c r="R8" i="4"/>
  <c r="R17" i="4"/>
  <c r="T8" i="4"/>
  <c r="U8" i="4"/>
  <c r="Q17" i="4"/>
  <c r="W9" i="4"/>
  <c r="V9" i="4"/>
  <c r="V13" i="4"/>
  <c r="W13" i="4"/>
  <c r="V27" i="4"/>
  <c r="W27" i="4"/>
  <c r="W28" i="4"/>
  <c r="V28" i="4"/>
  <c r="W29" i="4"/>
  <c r="V29" i="4"/>
  <c r="I106" i="4"/>
  <c r="I84" i="4"/>
  <c r="I83" i="4"/>
  <c r="V59" i="4"/>
  <c r="W59" i="4"/>
  <c r="AB13" i="4"/>
  <c r="AB14" i="4"/>
  <c r="K17" i="4"/>
  <c r="O47" i="4"/>
  <c r="W60" i="4"/>
  <c r="M67" i="4"/>
  <c r="K82" i="4"/>
  <c r="V69" i="4"/>
  <c r="W69" i="4"/>
  <c r="V93" i="4"/>
  <c r="W93" i="4"/>
  <c r="W104" i="4"/>
  <c r="V104" i="4"/>
  <c r="O17" i="4"/>
  <c r="N17" i="4"/>
  <c r="K34" i="4"/>
  <c r="V42" i="4"/>
  <c r="W46" i="4"/>
  <c r="K47" i="4"/>
  <c r="K62" i="4"/>
  <c r="M51" i="4"/>
  <c r="Q51" i="4"/>
  <c r="W52" i="4"/>
  <c r="H62" i="4"/>
  <c r="V71" i="4"/>
  <c r="W71" i="4"/>
  <c r="W81" i="4"/>
  <c r="V81" i="4"/>
  <c r="V90" i="4"/>
  <c r="O105" i="4"/>
  <c r="V98" i="4"/>
  <c r="W101" i="4"/>
  <c r="Q21" i="4"/>
  <c r="Q23" i="4"/>
  <c r="R23" i="4"/>
  <c r="T23" i="4"/>
  <c r="U23" i="4"/>
  <c r="Q38" i="4"/>
  <c r="O82" i="4"/>
  <c r="V75" i="4"/>
  <c r="W78" i="4"/>
  <c r="S106" i="4"/>
  <c r="S83" i="4"/>
  <c r="S84" i="4"/>
  <c r="R89" i="4"/>
  <c r="V92" i="4"/>
  <c r="W92" i="4"/>
  <c r="T7" i="4"/>
  <c r="V40" i="4"/>
  <c r="Q39" i="4"/>
  <c r="R39" i="4"/>
  <c r="T39" i="4"/>
  <c r="U39" i="4"/>
  <c r="N61" i="4"/>
  <c r="N62" i="4"/>
  <c r="Q55" i="4"/>
  <c r="R55" i="4"/>
  <c r="T55" i="4"/>
  <c r="U55" i="4"/>
  <c r="M89" i="4"/>
  <c r="Q43" i="4"/>
  <c r="R43" i="4"/>
  <c r="T43" i="4"/>
  <c r="U43" i="4"/>
  <c r="O61" i="4"/>
  <c r="O62" i="4"/>
  <c r="Q53" i="4"/>
  <c r="R53" i="4"/>
  <c r="T53" i="4"/>
  <c r="U53" i="4"/>
  <c r="Q74" i="4"/>
  <c r="R74" i="4"/>
  <c r="T74" i="4"/>
  <c r="U74" i="4"/>
  <c r="Q77" i="4"/>
  <c r="R77" i="4"/>
  <c r="T77" i="4"/>
  <c r="U77" i="4"/>
  <c r="Q80" i="4"/>
  <c r="R80" i="4"/>
  <c r="T80" i="4"/>
  <c r="U80" i="4"/>
  <c r="N105" i="4"/>
  <c r="Q97" i="4"/>
  <c r="R97" i="4"/>
  <c r="T97" i="4"/>
  <c r="U97" i="4"/>
  <c r="Q100" i="4"/>
  <c r="R100" i="4"/>
  <c r="T100" i="4"/>
  <c r="U100" i="4"/>
  <c r="Q103" i="4"/>
  <c r="R103" i="4"/>
  <c r="T103" i="4"/>
  <c r="U103" i="4"/>
  <c r="Q57" i="4"/>
  <c r="R57" i="4"/>
  <c r="T57" i="4"/>
  <c r="U57" i="4"/>
  <c r="N82" i="4"/>
  <c r="Q67" i="4"/>
  <c r="Q76" i="4"/>
  <c r="R76" i="4"/>
  <c r="T76" i="4"/>
  <c r="U76" i="4"/>
  <c r="Q99" i="4"/>
  <c r="R99" i="4"/>
  <c r="T99" i="4"/>
  <c r="U99" i="4"/>
  <c r="Z27" i="3"/>
  <c r="AN27" i="3"/>
  <c r="X55" i="3"/>
  <c r="AL55" i="3"/>
  <c r="V65" i="3"/>
  <c r="AJ65" i="3"/>
  <c r="Z67" i="3"/>
  <c r="AN67" i="3"/>
  <c r="Y67" i="3"/>
  <c r="AM67" i="3"/>
  <c r="W39" i="3"/>
  <c r="AK39" i="3"/>
  <c r="Y39" i="3"/>
  <c r="AM39" i="3"/>
  <c r="V27" i="3"/>
  <c r="AJ27" i="3"/>
  <c r="W55" i="3"/>
  <c r="AK55" i="3"/>
  <c r="W65" i="3"/>
  <c r="AK65" i="3"/>
  <c r="V67" i="3"/>
  <c r="AJ67" i="3"/>
  <c r="U67" i="3"/>
  <c r="AI67" i="3"/>
  <c r="W11" i="3"/>
  <c r="AK11" i="3"/>
  <c r="X39" i="3"/>
  <c r="AL39" i="3"/>
  <c r="W41" i="3"/>
  <c r="AK41" i="3"/>
  <c r="W27" i="3"/>
  <c r="AK27" i="3"/>
  <c r="Z55" i="3"/>
  <c r="AN55" i="3"/>
  <c r="Z65" i="3"/>
  <c r="AN65" i="3"/>
  <c r="W23" i="3"/>
  <c r="AK23" i="3"/>
  <c r="S22" i="5"/>
  <c r="W6" i="3"/>
  <c r="AK6" i="3"/>
  <c r="X6" i="3"/>
  <c r="AL6" i="3"/>
  <c r="Z6" i="3"/>
  <c r="AN6" i="3"/>
  <c r="V6" i="3"/>
  <c r="AJ6" i="3"/>
  <c r="U6" i="3"/>
  <c r="AI6" i="3"/>
  <c r="Y6" i="3"/>
  <c r="AM6" i="3"/>
  <c r="W52" i="3"/>
  <c r="AK52" i="3"/>
  <c r="U52" i="3"/>
  <c r="AI52" i="3"/>
  <c r="Y52" i="3"/>
  <c r="AM52" i="3"/>
  <c r="Z52" i="3"/>
  <c r="AN52" i="3"/>
  <c r="X52" i="3"/>
  <c r="AL52" i="3"/>
  <c r="V52" i="3"/>
  <c r="AJ52" i="3"/>
  <c r="W12" i="3"/>
  <c r="AK12" i="3"/>
  <c r="X12" i="3"/>
  <c r="AL12" i="3"/>
  <c r="V12" i="3"/>
  <c r="AJ12" i="3"/>
  <c r="Z12" i="3"/>
  <c r="AN12" i="3"/>
  <c r="Y12" i="3"/>
  <c r="AM12" i="3"/>
  <c r="U12" i="3"/>
  <c r="AI12" i="3"/>
  <c r="W64" i="3"/>
  <c r="AK64" i="3"/>
  <c r="U64" i="3"/>
  <c r="AI64" i="3"/>
  <c r="Y64" i="3"/>
  <c r="AM64" i="3"/>
  <c r="Z64" i="3"/>
  <c r="AN64" i="3"/>
  <c r="X64" i="3"/>
  <c r="AL64" i="3"/>
  <c r="V64" i="3"/>
  <c r="AJ64" i="3"/>
  <c r="U47" i="3"/>
  <c r="AI47" i="3"/>
  <c r="Y47" i="3"/>
  <c r="AM47" i="3"/>
  <c r="V47" i="3"/>
  <c r="AJ47" i="3"/>
  <c r="Z47" i="3"/>
  <c r="AN47" i="3"/>
  <c r="X47" i="3"/>
  <c r="AL47" i="3"/>
  <c r="W47" i="3"/>
  <c r="AK47" i="3"/>
  <c r="W58" i="3"/>
  <c r="AK58" i="3"/>
  <c r="U58" i="3"/>
  <c r="AI58" i="3"/>
  <c r="Y58" i="3"/>
  <c r="AM58" i="3"/>
  <c r="V58" i="3"/>
  <c r="AJ58" i="3"/>
  <c r="X58" i="3"/>
  <c r="AL58" i="3"/>
  <c r="Z58" i="3"/>
  <c r="AN58" i="3"/>
  <c r="W70" i="3"/>
  <c r="AK70" i="3"/>
  <c r="U70" i="3"/>
  <c r="AI70" i="3"/>
  <c r="V70" i="3"/>
  <c r="AJ70" i="3"/>
  <c r="X70" i="3"/>
  <c r="AL70" i="3"/>
  <c r="Y70" i="3"/>
  <c r="AM70" i="3"/>
  <c r="Z70" i="3"/>
  <c r="AN70" i="3"/>
  <c r="U59" i="3"/>
  <c r="AI59" i="3"/>
  <c r="Y59" i="3"/>
  <c r="AM59" i="3"/>
  <c r="W59" i="3"/>
  <c r="AK59" i="3"/>
  <c r="X59" i="3"/>
  <c r="AL59" i="3"/>
  <c r="Z59" i="3"/>
  <c r="AN59" i="3"/>
  <c r="V59" i="3"/>
  <c r="AJ59" i="3"/>
  <c r="W20" i="3"/>
  <c r="AK20" i="3"/>
  <c r="X20" i="3"/>
  <c r="AL20" i="3"/>
  <c r="V20" i="3"/>
  <c r="AJ20" i="3"/>
  <c r="Z20" i="3"/>
  <c r="AN20" i="3"/>
  <c r="U20" i="3"/>
  <c r="AI20" i="3"/>
  <c r="Y20" i="3"/>
  <c r="AM20" i="3"/>
  <c r="W28" i="3"/>
  <c r="AK28" i="3"/>
  <c r="X28" i="3"/>
  <c r="AL28" i="3"/>
  <c r="V28" i="3"/>
  <c r="AJ28" i="3"/>
  <c r="Z28" i="3"/>
  <c r="AN28" i="3"/>
  <c r="U28" i="3"/>
  <c r="AI28" i="3"/>
  <c r="Y28" i="3"/>
  <c r="AM28" i="3"/>
  <c r="U19" i="3"/>
  <c r="AI19" i="3"/>
  <c r="Y19" i="3"/>
  <c r="AM19" i="3"/>
  <c r="V19" i="3"/>
  <c r="AJ19" i="3"/>
  <c r="Z19" i="3"/>
  <c r="AN19" i="3"/>
  <c r="X19" i="3"/>
  <c r="AL19" i="3"/>
  <c r="W19" i="3"/>
  <c r="AK19" i="3"/>
  <c r="W34" i="3"/>
  <c r="AK34" i="3"/>
  <c r="X34" i="3"/>
  <c r="AL34" i="3"/>
  <c r="Z34" i="3"/>
  <c r="AN34" i="3"/>
  <c r="V34" i="3"/>
  <c r="AJ34" i="3"/>
  <c r="Y34" i="3"/>
  <c r="AM34" i="3"/>
  <c r="U34" i="3"/>
  <c r="AI34" i="3"/>
  <c r="W74" i="3"/>
  <c r="AK74" i="3"/>
  <c r="Y74" i="3"/>
  <c r="AM74" i="3"/>
  <c r="U74" i="3"/>
  <c r="AI74" i="3"/>
  <c r="V74" i="3"/>
  <c r="AJ74" i="3"/>
  <c r="X74" i="3"/>
  <c r="AL74" i="3"/>
  <c r="Z74" i="3"/>
  <c r="AN74" i="3"/>
  <c r="U17" i="3"/>
  <c r="AI17" i="3"/>
  <c r="Y17" i="3"/>
  <c r="AM17" i="3"/>
  <c r="V17" i="3"/>
  <c r="AJ17" i="3"/>
  <c r="Z17" i="3"/>
  <c r="AN17" i="3"/>
  <c r="X17" i="3"/>
  <c r="AL17" i="3"/>
  <c r="W17" i="3"/>
  <c r="AK17" i="3"/>
  <c r="U53" i="3"/>
  <c r="AI53" i="3"/>
  <c r="Y53" i="3"/>
  <c r="AM53" i="3"/>
  <c r="W53" i="3"/>
  <c r="AK53" i="3"/>
  <c r="V53" i="3"/>
  <c r="AJ53" i="3"/>
  <c r="Z53" i="3"/>
  <c r="AN53" i="3"/>
  <c r="X53" i="3"/>
  <c r="AL53" i="3"/>
  <c r="W66" i="3"/>
  <c r="AK66" i="3"/>
  <c r="U66" i="3"/>
  <c r="AI66" i="3"/>
  <c r="Y66" i="3"/>
  <c r="AM66" i="3"/>
  <c r="V66" i="3"/>
  <c r="AJ66" i="3"/>
  <c r="Z66" i="3"/>
  <c r="AN66" i="3"/>
  <c r="X66" i="3"/>
  <c r="AL66" i="3"/>
  <c r="U37" i="3"/>
  <c r="AI37" i="3"/>
  <c r="Y37" i="3"/>
  <c r="AM37" i="3"/>
  <c r="V37" i="3"/>
  <c r="AJ37" i="3"/>
  <c r="Z37" i="3"/>
  <c r="AN37" i="3"/>
  <c r="X37" i="3"/>
  <c r="AL37" i="3"/>
  <c r="W37" i="3"/>
  <c r="AK37" i="3"/>
  <c r="U49" i="3"/>
  <c r="AI49" i="3"/>
  <c r="V49" i="3"/>
  <c r="AJ49" i="3"/>
  <c r="Z49" i="3"/>
  <c r="AN49" i="3"/>
  <c r="X49" i="3"/>
  <c r="AL49" i="3"/>
  <c r="W49" i="3"/>
  <c r="AK49" i="3"/>
  <c r="Y49" i="3"/>
  <c r="AM49" i="3"/>
  <c r="V5" i="3"/>
  <c r="AJ5" i="3"/>
  <c r="Y5" i="3"/>
  <c r="AM5" i="3"/>
  <c r="U5" i="3"/>
  <c r="AI5" i="3"/>
  <c r="Z5" i="3"/>
  <c r="AN5" i="3"/>
  <c r="X5" i="3"/>
  <c r="AL5" i="3"/>
  <c r="W5" i="3"/>
  <c r="AK5" i="3"/>
  <c r="U7" i="3"/>
  <c r="AI7" i="3"/>
  <c r="Y7" i="3"/>
  <c r="AM7" i="3"/>
  <c r="V7" i="3"/>
  <c r="AJ7" i="3"/>
  <c r="Z7" i="3"/>
  <c r="AN7" i="3"/>
  <c r="X7" i="3"/>
  <c r="AL7" i="3"/>
  <c r="W7" i="3"/>
  <c r="AK7" i="3"/>
  <c r="W38" i="3"/>
  <c r="AK38" i="3"/>
  <c r="X38" i="3"/>
  <c r="AL38" i="3"/>
  <c r="Z38" i="3"/>
  <c r="AN38" i="3"/>
  <c r="V38" i="3"/>
  <c r="AJ38" i="3"/>
  <c r="U38" i="3"/>
  <c r="AI38" i="3"/>
  <c r="Y38" i="3"/>
  <c r="AM38" i="3"/>
  <c r="U15" i="3"/>
  <c r="AI15" i="3"/>
  <c r="Y15" i="3"/>
  <c r="AM15" i="3"/>
  <c r="V15" i="3"/>
  <c r="AJ15" i="3"/>
  <c r="Z15" i="3"/>
  <c r="AN15" i="3"/>
  <c r="X15" i="3"/>
  <c r="AL15" i="3"/>
  <c r="W15" i="3"/>
  <c r="AK15" i="3"/>
  <c r="W32" i="3"/>
  <c r="AK32" i="3"/>
  <c r="X32" i="3"/>
  <c r="AL32" i="3"/>
  <c r="V32" i="3"/>
  <c r="AJ32" i="3"/>
  <c r="Z32" i="3"/>
  <c r="AN32" i="3"/>
  <c r="U32" i="3"/>
  <c r="AI32" i="3"/>
  <c r="Y32" i="3"/>
  <c r="AM32" i="3"/>
  <c r="X4" i="3"/>
  <c r="AL4" i="3"/>
  <c r="Y4" i="3"/>
  <c r="AM4" i="3"/>
  <c r="W4" i="3"/>
  <c r="AK4" i="3"/>
  <c r="V4" i="3"/>
  <c r="AJ4" i="3"/>
  <c r="Z4" i="3"/>
  <c r="AN4" i="3"/>
  <c r="U4" i="3"/>
  <c r="AI4" i="3"/>
  <c r="W30" i="3"/>
  <c r="AK30" i="3"/>
  <c r="X30" i="3"/>
  <c r="AL30" i="3"/>
  <c r="Z30" i="3"/>
  <c r="AN30" i="3"/>
  <c r="V30" i="3"/>
  <c r="AJ30" i="3"/>
  <c r="Y30" i="3"/>
  <c r="AM30" i="3"/>
  <c r="U30" i="3"/>
  <c r="AI30" i="3"/>
  <c r="W56" i="3"/>
  <c r="AK56" i="3"/>
  <c r="U56" i="3"/>
  <c r="AI56" i="3"/>
  <c r="Y56" i="3"/>
  <c r="AM56" i="3"/>
  <c r="Z56" i="3"/>
  <c r="AN56" i="3"/>
  <c r="V56" i="3"/>
  <c r="AJ56" i="3"/>
  <c r="X56" i="3"/>
  <c r="AL56" i="3"/>
  <c r="W10" i="3"/>
  <c r="AK10" i="3"/>
  <c r="X10" i="3"/>
  <c r="AL10" i="3"/>
  <c r="Z10" i="3"/>
  <c r="AN10" i="3"/>
  <c r="V10" i="3"/>
  <c r="AJ10" i="3"/>
  <c r="Y10" i="3"/>
  <c r="AM10" i="3"/>
  <c r="U10" i="3"/>
  <c r="AI10" i="3"/>
  <c r="W44" i="3"/>
  <c r="AK44" i="3"/>
  <c r="X44" i="3"/>
  <c r="AL44" i="3"/>
  <c r="V44" i="3"/>
  <c r="AJ44" i="3"/>
  <c r="Z44" i="3"/>
  <c r="AN44" i="3"/>
  <c r="Y44" i="3"/>
  <c r="AM44" i="3"/>
  <c r="U44" i="3"/>
  <c r="AI44" i="3"/>
  <c r="U73" i="3"/>
  <c r="AI73" i="3"/>
  <c r="Y73" i="3"/>
  <c r="AM73" i="3"/>
  <c r="Z73" i="3"/>
  <c r="AN73" i="3"/>
  <c r="V73" i="3"/>
  <c r="AJ73" i="3"/>
  <c r="X73" i="3"/>
  <c r="AL73" i="3"/>
  <c r="W73" i="3"/>
  <c r="AK73" i="3"/>
  <c r="U29" i="3"/>
  <c r="AI29" i="3"/>
  <c r="Y29" i="3"/>
  <c r="AM29" i="3"/>
  <c r="V29" i="3"/>
  <c r="AJ29" i="3"/>
  <c r="Z29" i="3"/>
  <c r="AN29" i="3"/>
  <c r="X29" i="3"/>
  <c r="AL29" i="3"/>
  <c r="W29" i="3"/>
  <c r="AK29" i="3"/>
  <c r="W54" i="3"/>
  <c r="AK54" i="3"/>
  <c r="U54" i="3"/>
  <c r="AI54" i="3"/>
  <c r="Y54" i="3"/>
  <c r="AM54" i="3"/>
  <c r="V54" i="3"/>
  <c r="AJ54" i="3"/>
  <c r="X54" i="3"/>
  <c r="AL54" i="3"/>
  <c r="Z54" i="3"/>
  <c r="AN54" i="3"/>
  <c r="U71" i="3"/>
  <c r="AI71" i="3"/>
  <c r="Y71" i="3"/>
  <c r="AM71" i="3"/>
  <c r="V71" i="3"/>
  <c r="AJ71" i="3"/>
  <c r="X71" i="3"/>
  <c r="AL71" i="3"/>
  <c r="Z71" i="3"/>
  <c r="AN71" i="3"/>
  <c r="W71" i="3"/>
  <c r="AK71" i="3"/>
  <c r="W62" i="3"/>
  <c r="AK62" i="3"/>
  <c r="U62" i="3"/>
  <c r="AI62" i="3"/>
  <c r="Y62" i="3"/>
  <c r="AM62" i="3"/>
  <c r="V62" i="3"/>
  <c r="AJ62" i="3"/>
  <c r="Z62" i="3"/>
  <c r="AN62" i="3"/>
  <c r="X62" i="3"/>
  <c r="AL62" i="3"/>
  <c r="W48" i="3"/>
  <c r="AK48" i="3"/>
  <c r="X48" i="3"/>
  <c r="AL48" i="3"/>
  <c r="V48" i="3"/>
  <c r="AJ48" i="3"/>
  <c r="Z48" i="3"/>
  <c r="AN48" i="3"/>
  <c r="U48" i="3"/>
  <c r="AI48" i="3"/>
  <c r="Y48" i="3"/>
  <c r="AM48" i="3"/>
  <c r="W72" i="3"/>
  <c r="AK72" i="3"/>
  <c r="U72" i="3"/>
  <c r="AI72" i="3"/>
  <c r="Z72" i="3"/>
  <c r="AN72" i="3"/>
  <c r="Y72" i="3"/>
  <c r="AM72" i="3"/>
  <c r="X72" i="3"/>
  <c r="AL72" i="3"/>
  <c r="V72" i="3"/>
  <c r="AJ72" i="3"/>
  <c r="W40" i="3"/>
  <c r="AK40" i="3"/>
  <c r="X40" i="3"/>
  <c r="AL40" i="3"/>
  <c r="V40" i="3"/>
  <c r="AJ40" i="3"/>
  <c r="Z40" i="3"/>
  <c r="AN40" i="3"/>
  <c r="U40" i="3"/>
  <c r="AI40" i="3"/>
  <c r="Y40" i="3"/>
  <c r="AM40" i="3"/>
  <c r="W68" i="3"/>
  <c r="AK68" i="3"/>
  <c r="U68" i="3"/>
  <c r="AI68" i="3"/>
  <c r="Y68" i="3"/>
  <c r="AM68" i="3"/>
  <c r="Z68" i="3"/>
  <c r="AN68" i="3"/>
  <c r="X68" i="3"/>
  <c r="AL68" i="3"/>
  <c r="V68" i="3"/>
  <c r="AJ68" i="3"/>
  <c r="W22" i="3"/>
  <c r="AK22" i="3"/>
  <c r="X22" i="3"/>
  <c r="AL22" i="3"/>
  <c r="Z22" i="3"/>
  <c r="AN22" i="3"/>
  <c r="V22" i="3"/>
  <c r="AJ22" i="3"/>
  <c r="Y22" i="3"/>
  <c r="AM22" i="3"/>
  <c r="U22" i="3"/>
  <c r="AI22" i="3"/>
  <c r="U13" i="3"/>
  <c r="AI13" i="3"/>
  <c r="Y13" i="3"/>
  <c r="AM13" i="3"/>
  <c r="V13" i="3"/>
  <c r="AJ13" i="3"/>
  <c r="Z13" i="3"/>
  <c r="AN13" i="3"/>
  <c r="X13" i="3"/>
  <c r="AL13" i="3"/>
  <c r="W13" i="3"/>
  <c r="AK13" i="3"/>
  <c r="U25" i="3"/>
  <c r="AI25" i="3"/>
  <c r="Y25" i="3"/>
  <c r="AM25" i="3"/>
  <c r="V25" i="3"/>
  <c r="AJ25" i="3"/>
  <c r="Z25" i="3"/>
  <c r="AN25" i="3"/>
  <c r="X25" i="3"/>
  <c r="AL25" i="3"/>
  <c r="W25" i="3"/>
  <c r="AK25" i="3"/>
  <c r="U33" i="3"/>
  <c r="AI33" i="3"/>
  <c r="Y33" i="3"/>
  <c r="AM33" i="3"/>
  <c r="V33" i="3"/>
  <c r="AJ33" i="3"/>
  <c r="Z33" i="3"/>
  <c r="AN33" i="3"/>
  <c r="X33" i="3"/>
  <c r="AL33" i="3"/>
  <c r="W33" i="3"/>
  <c r="AK33" i="3"/>
  <c r="W42" i="3"/>
  <c r="AK42" i="3"/>
  <c r="X42" i="3"/>
  <c r="AL42" i="3"/>
  <c r="Z42" i="3"/>
  <c r="AN42" i="3"/>
  <c r="V42" i="3"/>
  <c r="AJ42" i="3"/>
  <c r="Y42" i="3"/>
  <c r="AM42" i="3"/>
  <c r="U42" i="3"/>
  <c r="AI42" i="3"/>
  <c r="W8" i="3"/>
  <c r="AK8" i="3"/>
  <c r="X8" i="3"/>
  <c r="AL8" i="3"/>
  <c r="V8" i="3"/>
  <c r="AJ8" i="3"/>
  <c r="Z8" i="3"/>
  <c r="AN8" i="3"/>
  <c r="U8" i="3"/>
  <c r="AI8" i="3"/>
  <c r="Y8" i="3"/>
  <c r="AM8" i="3"/>
  <c r="W18" i="3"/>
  <c r="AK18" i="3"/>
  <c r="X18" i="3"/>
  <c r="AL18" i="3"/>
  <c r="Z18" i="3"/>
  <c r="AN18" i="3"/>
  <c r="V18" i="3"/>
  <c r="AJ18" i="3"/>
  <c r="Y18" i="3"/>
  <c r="AM18" i="3"/>
  <c r="U18" i="3"/>
  <c r="AI18" i="3"/>
  <c r="W26" i="3"/>
  <c r="AK26" i="3"/>
  <c r="X26" i="3"/>
  <c r="AL26" i="3"/>
  <c r="Z26" i="3"/>
  <c r="AN26" i="3"/>
  <c r="V26" i="3"/>
  <c r="AJ26" i="3"/>
  <c r="Y26" i="3"/>
  <c r="AM26" i="3"/>
  <c r="U26" i="3"/>
  <c r="AI26" i="3"/>
  <c r="W50" i="3"/>
  <c r="AK50" i="3"/>
  <c r="U50" i="3"/>
  <c r="AI50" i="3"/>
  <c r="Y50" i="3"/>
  <c r="AM50" i="3"/>
  <c r="V50" i="3"/>
  <c r="AJ50" i="3"/>
  <c r="Z50" i="3"/>
  <c r="AN50" i="3"/>
  <c r="X50" i="3"/>
  <c r="AL50" i="3"/>
  <c r="W60" i="3"/>
  <c r="AK60" i="3"/>
  <c r="U60" i="3"/>
  <c r="AI60" i="3"/>
  <c r="Y60" i="3"/>
  <c r="AM60" i="3"/>
  <c r="Z60" i="3"/>
  <c r="AN60" i="3"/>
  <c r="V60" i="3"/>
  <c r="AJ60" i="3"/>
  <c r="X60" i="3"/>
  <c r="AL60" i="3"/>
  <c r="W24" i="3"/>
  <c r="AK24" i="3"/>
  <c r="X24" i="3"/>
  <c r="AL24" i="3"/>
  <c r="V24" i="3"/>
  <c r="AJ24" i="3"/>
  <c r="Z24" i="3"/>
  <c r="AN24" i="3"/>
  <c r="U24" i="3"/>
  <c r="AI24" i="3"/>
  <c r="Y24" i="3"/>
  <c r="AM24" i="3"/>
  <c r="W36" i="3"/>
  <c r="AK36" i="3"/>
  <c r="X36" i="3"/>
  <c r="AL36" i="3"/>
  <c r="V36" i="3"/>
  <c r="AJ36" i="3"/>
  <c r="Z36" i="3"/>
  <c r="AN36" i="3"/>
  <c r="Y36" i="3"/>
  <c r="AM36" i="3"/>
  <c r="U36" i="3"/>
  <c r="AI36" i="3"/>
  <c r="W46" i="3"/>
  <c r="AK46" i="3"/>
  <c r="X46" i="3"/>
  <c r="AL46" i="3"/>
  <c r="Z46" i="3"/>
  <c r="AN46" i="3"/>
  <c r="V46" i="3"/>
  <c r="AJ46" i="3"/>
  <c r="U46" i="3"/>
  <c r="AI46" i="3"/>
  <c r="Y46" i="3"/>
  <c r="AM46" i="3"/>
  <c r="U63" i="3"/>
  <c r="AI63" i="3"/>
  <c r="Y63" i="3"/>
  <c r="AM63" i="3"/>
  <c r="W63" i="3"/>
  <c r="AK63" i="3"/>
  <c r="X63" i="3"/>
  <c r="AL63" i="3"/>
  <c r="V63" i="3"/>
  <c r="AJ63" i="3"/>
  <c r="Z63" i="3"/>
  <c r="AN63" i="3"/>
  <c r="U31" i="3"/>
  <c r="AI31" i="3"/>
  <c r="Y31" i="3"/>
  <c r="AM31" i="3"/>
  <c r="V31" i="3"/>
  <c r="AJ31" i="3"/>
  <c r="Z31" i="3"/>
  <c r="AN31" i="3"/>
  <c r="X31" i="3"/>
  <c r="AL31" i="3"/>
  <c r="W31" i="3"/>
  <c r="AK31" i="3"/>
  <c r="U61" i="3"/>
  <c r="AI61" i="3"/>
  <c r="Y61" i="3"/>
  <c r="AM61" i="3"/>
  <c r="W61" i="3"/>
  <c r="AK61" i="3"/>
  <c r="X61" i="3"/>
  <c r="AL61" i="3"/>
  <c r="Z61" i="3"/>
  <c r="AN61" i="3"/>
  <c r="V61" i="3"/>
  <c r="AJ61" i="3"/>
  <c r="S49" i="5"/>
  <c r="S41" i="5"/>
  <c r="S33" i="5"/>
  <c r="S31" i="5"/>
  <c r="S29" i="5"/>
  <c r="S27" i="5"/>
  <c r="Y22" i="5"/>
  <c r="AM22" i="5"/>
  <c r="U22" i="5"/>
  <c r="AI22" i="5"/>
  <c r="X22" i="5"/>
  <c r="AL22" i="5"/>
  <c r="W22" i="5"/>
  <c r="AK22" i="5"/>
  <c r="Z22" i="5"/>
  <c r="AN22" i="5"/>
  <c r="V22" i="5"/>
  <c r="AJ22" i="5"/>
  <c r="S20" i="5"/>
  <c r="S18" i="5"/>
  <c r="S47" i="5"/>
  <c r="Y44" i="5"/>
  <c r="AM44" i="5"/>
  <c r="U44" i="5"/>
  <c r="AI44" i="5"/>
  <c r="W44" i="5"/>
  <c r="AK44" i="5"/>
  <c r="V44" i="5"/>
  <c r="AJ44" i="5"/>
  <c r="X44" i="5"/>
  <c r="AL44" i="5"/>
  <c r="Z44" i="5"/>
  <c r="AN44" i="5"/>
  <c r="S39" i="5"/>
  <c r="S36" i="5"/>
  <c r="S25" i="5"/>
  <c r="S16" i="5"/>
  <c r="Y19" i="5"/>
  <c r="AM19" i="5"/>
  <c r="U19" i="5"/>
  <c r="AI19" i="5"/>
  <c r="X19" i="5"/>
  <c r="AL19" i="5"/>
  <c r="W19" i="5"/>
  <c r="AK19" i="5"/>
  <c r="Z19" i="5"/>
  <c r="AN19" i="5"/>
  <c r="V19" i="5"/>
  <c r="AJ19" i="5"/>
  <c r="Z24" i="5"/>
  <c r="AN24" i="5"/>
  <c r="W46" i="5"/>
  <c r="AK46" i="5"/>
  <c r="W42" i="5"/>
  <c r="AK42" i="5"/>
  <c r="S26" i="5"/>
  <c r="U26" i="5"/>
  <c r="AI26" i="5"/>
  <c r="Z42" i="5"/>
  <c r="AN42" i="5"/>
  <c r="X15" i="5"/>
  <c r="AL15" i="5"/>
  <c r="U42" i="5"/>
  <c r="AI42" i="5"/>
  <c r="U17" i="5"/>
  <c r="AI17" i="5"/>
  <c r="Y37" i="5"/>
  <c r="AM37" i="5"/>
  <c r="W15" i="5"/>
  <c r="AK15" i="5"/>
  <c r="V17" i="5"/>
  <c r="AJ17" i="5"/>
  <c r="V42" i="5"/>
  <c r="AJ42" i="5"/>
  <c r="Z37" i="5"/>
  <c r="AN37" i="5"/>
  <c r="Y14" i="5"/>
  <c r="AM14" i="5"/>
  <c r="S30" i="5"/>
  <c r="U30" i="5"/>
  <c r="AI30" i="5"/>
  <c r="V15" i="5"/>
  <c r="AJ15" i="5"/>
  <c r="Y17" i="5"/>
  <c r="AM17" i="5"/>
  <c r="Y42" i="5"/>
  <c r="AM42" i="5"/>
  <c r="X48" i="5"/>
  <c r="AL48" i="5"/>
  <c r="Z32" i="5"/>
  <c r="AN32" i="5"/>
  <c r="X37" i="5"/>
  <c r="AL37" i="5"/>
  <c r="Y15" i="5"/>
  <c r="AM15" i="5"/>
  <c r="U37" i="5"/>
  <c r="AI37" i="5"/>
  <c r="X17" i="5"/>
  <c r="AL17" i="5"/>
  <c r="W28" i="5"/>
  <c r="AK28" i="5"/>
  <c r="Y28" i="5"/>
  <c r="AM28" i="5"/>
  <c r="W8" i="5"/>
  <c r="AK8" i="5"/>
  <c r="V46" i="5"/>
  <c r="AJ46" i="5"/>
  <c r="U46" i="5"/>
  <c r="AI46" i="5"/>
  <c r="Z46" i="5"/>
  <c r="AN46" i="5"/>
  <c r="Z50" i="5"/>
  <c r="AN50" i="5"/>
  <c r="X46" i="5"/>
  <c r="AL46" i="5"/>
  <c r="V37" i="5"/>
  <c r="AJ37" i="5"/>
  <c r="Z4" i="5"/>
  <c r="AN4" i="5"/>
  <c r="W17" i="5"/>
  <c r="AK17" i="5"/>
  <c r="V51" i="5"/>
  <c r="AJ51" i="5"/>
  <c r="V21" i="5"/>
  <c r="AJ21" i="5"/>
  <c r="X21" i="5"/>
  <c r="AL21" i="5"/>
  <c r="Z21" i="5"/>
  <c r="AN21" i="5"/>
  <c r="V8" i="5"/>
  <c r="AJ8" i="5"/>
  <c r="X24" i="5"/>
  <c r="AL24" i="5"/>
  <c r="Z8" i="5"/>
  <c r="AN8" i="5"/>
  <c r="Y24" i="5"/>
  <c r="AM24" i="5"/>
  <c r="X4" i="5"/>
  <c r="AL4" i="5"/>
  <c r="Z28" i="5"/>
  <c r="AN28" i="5"/>
  <c r="V23" i="5"/>
  <c r="AJ23" i="5"/>
  <c r="X50" i="5"/>
  <c r="AL50" i="5"/>
  <c r="W24" i="5"/>
  <c r="AK24" i="5"/>
  <c r="V4" i="5"/>
  <c r="AJ4" i="5"/>
  <c r="V28" i="5"/>
  <c r="AJ28" i="5"/>
  <c r="U50" i="5"/>
  <c r="AI50" i="5"/>
  <c r="U8" i="5"/>
  <c r="AI8" i="5"/>
  <c r="W32" i="5"/>
  <c r="AK32" i="5"/>
  <c r="V24" i="5"/>
  <c r="AJ24" i="5"/>
  <c r="Y4" i="5"/>
  <c r="AM4" i="5"/>
  <c r="W4" i="5"/>
  <c r="AK4" i="5"/>
  <c r="X28" i="5"/>
  <c r="AL28" i="5"/>
  <c r="W23" i="5"/>
  <c r="AK23" i="5"/>
  <c r="Y50" i="5"/>
  <c r="AM50" i="5"/>
  <c r="S34" i="5"/>
  <c r="W34" i="5"/>
  <c r="AK34" i="5"/>
  <c r="V48" i="5"/>
  <c r="AJ48" i="5"/>
  <c r="W14" i="5"/>
  <c r="AK14" i="5"/>
  <c r="U14" i="5"/>
  <c r="AI14" i="5"/>
  <c r="V14" i="5"/>
  <c r="AJ14" i="5"/>
  <c r="Z51" i="5"/>
  <c r="AN51" i="5"/>
  <c r="X7" i="5"/>
  <c r="AL7" i="5"/>
  <c r="U48" i="5"/>
  <c r="AI48" i="5"/>
  <c r="Z48" i="5"/>
  <c r="AN48" i="5"/>
  <c r="W21" i="5"/>
  <c r="AK21" i="5"/>
  <c r="W51" i="5"/>
  <c r="AK51" i="5"/>
  <c r="Z15" i="5"/>
  <c r="AN15" i="5"/>
  <c r="Z14" i="5"/>
  <c r="AN14" i="5"/>
  <c r="Y7" i="5"/>
  <c r="AM7" i="5"/>
  <c r="X8" i="5"/>
  <c r="AL8" i="5"/>
  <c r="Y48" i="5"/>
  <c r="AM48" i="5"/>
  <c r="Y21" i="5"/>
  <c r="AM21" i="5"/>
  <c r="U28" i="5"/>
  <c r="AI28" i="5"/>
  <c r="U51" i="5"/>
  <c r="AI51" i="5"/>
  <c r="Y51" i="5"/>
  <c r="AM51" i="5"/>
  <c r="W50" i="5"/>
  <c r="AK50" i="5"/>
  <c r="Y23" i="5"/>
  <c r="AM23" i="5"/>
  <c r="X32" i="5"/>
  <c r="AL32" i="5"/>
  <c r="Z23" i="5"/>
  <c r="AN23" i="5"/>
  <c r="U7" i="5"/>
  <c r="AI7" i="5"/>
  <c r="V7" i="5"/>
  <c r="AJ7" i="5"/>
  <c r="V32" i="5"/>
  <c r="AJ32" i="5"/>
  <c r="U21" i="5"/>
  <c r="AI21" i="5"/>
  <c r="U23" i="5"/>
  <c r="AI23" i="5"/>
  <c r="W7" i="5"/>
  <c r="AK7" i="5"/>
  <c r="Y32" i="5"/>
  <c r="AM32" i="5"/>
  <c r="Z40" i="5"/>
  <c r="AN40" i="5"/>
  <c r="V40" i="5"/>
  <c r="AJ40" i="5"/>
  <c r="X40" i="5"/>
  <c r="AL40" i="5"/>
  <c r="Y40" i="5"/>
  <c r="AM40" i="5"/>
  <c r="U40" i="5"/>
  <c r="AI40" i="5"/>
  <c r="W40" i="5"/>
  <c r="AK40" i="5"/>
  <c r="Y35" i="5"/>
  <c r="AM35" i="5"/>
  <c r="U35" i="5"/>
  <c r="AI35" i="5"/>
  <c r="W35" i="5"/>
  <c r="AK35" i="5"/>
  <c r="V35" i="5"/>
  <c r="AJ35" i="5"/>
  <c r="X35" i="5"/>
  <c r="AL35" i="5"/>
  <c r="Z35" i="5"/>
  <c r="AN35" i="5"/>
  <c r="W12" i="5"/>
  <c r="AK12" i="5"/>
  <c r="V12" i="5"/>
  <c r="AJ12" i="5"/>
  <c r="X12" i="5"/>
  <c r="AL12" i="5"/>
  <c r="Y12" i="5"/>
  <c r="AM12" i="5"/>
  <c r="U12" i="5"/>
  <c r="AI12" i="5"/>
  <c r="Z12" i="5"/>
  <c r="AN12" i="5"/>
  <c r="Z38" i="5"/>
  <c r="AN38" i="5"/>
  <c r="V38" i="5"/>
  <c r="AJ38" i="5"/>
  <c r="X38" i="5"/>
  <c r="AL38" i="5"/>
  <c r="Y38" i="5"/>
  <c r="AM38" i="5"/>
  <c r="U38" i="5"/>
  <c r="AI38" i="5"/>
  <c r="W38" i="5"/>
  <c r="AK38" i="5"/>
  <c r="W5" i="5"/>
  <c r="AK5" i="5"/>
  <c r="V5" i="5"/>
  <c r="AJ5" i="5"/>
  <c r="X5" i="5"/>
  <c r="AL5" i="5"/>
  <c r="Y5" i="5"/>
  <c r="AM5" i="5"/>
  <c r="U5" i="5"/>
  <c r="AI5" i="5"/>
  <c r="Z5" i="5"/>
  <c r="AN5" i="5"/>
  <c r="W45" i="5"/>
  <c r="AK45" i="5"/>
  <c r="Y45" i="5"/>
  <c r="AM45" i="5"/>
  <c r="Z45" i="5"/>
  <c r="AN45" i="5"/>
  <c r="U45" i="5"/>
  <c r="AI45" i="5"/>
  <c r="X45" i="5"/>
  <c r="AL45" i="5"/>
  <c r="V45" i="5"/>
  <c r="AJ45" i="5"/>
  <c r="W43" i="5"/>
  <c r="AK43" i="5"/>
  <c r="Y43" i="5"/>
  <c r="AM43" i="5"/>
  <c r="X43" i="5"/>
  <c r="AL43" i="5"/>
  <c r="V43" i="5"/>
  <c r="AJ43" i="5"/>
  <c r="U43" i="5"/>
  <c r="AI43" i="5"/>
  <c r="Z43" i="5"/>
  <c r="AN43" i="5"/>
  <c r="K106" i="4"/>
  <c r="K84" i="4"/>
  <c r="K83" i="4"/>
  <c r="V76" i="4"/>
  <c r="W76" i="4"/>
  <c r="V80" i="4"/>
  <c r="W80" i="4"/>
  <c r="O106" i="4"/>
  <c r="O83" i="4"/>
  <c r="O84" i="4"/>
  <c r="P106" i="4"/>
  <c r="P83" i="4"/>
  <c r="P84" i="4"/>
  <c r="Q82" i="4"/>
  <c r="R67" i="4"/>
  <c r="W77" i="4"/>
  <c r="V77" i="4"/>
  <c r="V39" i="4"/>
  <c r="W39" i="4"/>
  <c r="H84" i="4"/>
  <c r="H106" i="4"/>
  <c r="H83" i="4"/>
  <c r="W97" i="4"/>
  <c r="V97" i="4"/>
  <c r="W74" i="4"/>
  <c r="V74" i="4"/>
  <c r="Q105" i="4"/>
  <c r="Q47" i="4"/>
  <c r="R38" i="4"/>
  <c r="W8" i="4"/>
  <c r="V8" i="4"/>
  <c r="V103" i="4"/>
  <c r="W103" i="4"/>
  <c r="N84" i="4"/>
  <c r="N83" i="4"/>
  <c r="N106" i="4"/>
  <c r="Q34" i="4"/>
  <c r="R21" i="4"/>
  <c r="W100" i="4"/>
  <c r="V100" i="4"/>
  <c r="V43" i="4"/>
  <c r="W43" i="4"/>
  <c r="V99" i="4"/>
  <c r="W99" i="4"/>
  <c r="V57" i="4"/>
  <c r="W57" i="4"/>
  <c r="V53" i="4"/>
  <c r="W53" i="4"/>
  <c r="W55" i="4"/>
  <c r="V55" i="4"/>
  <c r="T17" i="4"/>
  <c r="U7" i="4"/>
  <c r="R105" i="4"/>
  <c r="T89" i="4"/>
  <c r="V23" i="4"/>
  <c r="W23" i="4"/>
  <c r="R51" i="4"/>
  <c r="Q61" i="4"/>
  <c r="Q62" i="4"/>
  <c r="Y49" i="5"/>
  <c r="AM49" i="5"/>
  <c r="U49" i="5"/>
  <c r="AI49" i="5"/>
  <c r="X49" i="5"/>
  <c r="AL49" i="5"/>
  <c r="W49" i="5"/>
  <c r="AK49" i="5"/>
  <c r="Z49" i="5"/>
  <c r="AN49" i="5"/>
  <c r="V49" i="5"/>
  <c r="AJ49" i="5"/>
  <c r="X41" i="5"/>
  <c r="AL41" i="5"/>
  <c r="W41" i="5"/>
  <c r="AK41" i="5"/>
  <c r="Z41" i="5"/>
  <c r="AN41" i="5"/>
  <c r="V41" i="5"/>
  <c r="AJ41" i="5"/>
  <c r="Y41" i="5"/>
  <c r="AM41" i="5"/>
  <c r="U41" i="5"/>
  <c r="AI41" i="5"/>
  <c r="Y33" i="5"/>
  <c r="AM33" i="5"/>
  <c r="U33" i="5"/>
  <c r="AI33" i="5"/>
  <c r="X33" i="5"/>
  <c r="AL33" i="5"/>
  <c r="W33" i="5"/>
  <c r="AK33" i="5"/>
  <c r="Z33" i="5"/>
  <c r="AN33" i="5"/>
  <c r="V33" i="5"/>
  <c r="AJ33" i="5"/>
  <c r="Y31" i="5"/>
  <c r="AM31" i="5"/>
  <c r="U31" i="5"/>
  <c r="AI31" i="5"/>
  <c r="X31" i="5"/>
  <c r="AL31" i="5"/>
  <c r="W31" i="5"/>
  <c r="AK31" i="5"/>
  <c r="Z31" i="5"/>
  <c r="AN31" i="5"/>
  <c r="V31" i="5"/>
  <c r="AJ31" i="5"/>
  <c r="Y29" i="5"/>
  <c r="AM29" i="5"/>
  <c r="U29" i="5"/>
  <c r="AI29" i="5"/>
  <c r="Z29" i="5"/>
  <c r="AN29" i="5"/>
  <c r="X29" i="5"/>
  <c r="AL29" i="5"/>
  <c r="V29" i="5"/>
  <c r="AJ29" i="5"/>
  <c r="W29" i="5"/>
  <c r="AK29" i="5"/>
  <c r="Y27" i="5"/>
  <c r="AM27" i="5"/>
  <c r="U27" i="5"/>
  <c r="AI27" i="5"/>
  <c r="Z27" i="5"/>
  <c r="AN27" i="5"/>
  <c r="X27" i="5"/>
  <c r="AL27" i="5"/>
  <c r="V27" i="5"/>
  <c r="AJ27" i="5"/>
  <c r="W27" i="5"/>
  <c r="AK27" i="5"/>
  <c r="Y20" i="5"/>
  <c r="AM20" i="5"/>
  <c r="U20" i="5"/>
  <c r="AI20" i="5"/>
  <c r="V20" i="5"/>
  <c r="AJ20" i="5"/>
  <c r="X20" i="5"/>
  <c r="AL20" i="5"/>
  <c r="Z20" i="5"/>
  <c r="AN20" i="5"/>
  <c r="W20" i="5"/>
  <c r="AK20" i="5"/>
  <c r="Y18" i="5"/>
  <c r="AM18" i="5"/>
  <c r="U18" i="5"/>
  <c r="AI18" i="5"/>
  <c r="X18" i="5"/>
  <c r="AL18" i="5"/>
  <c r="W18" i="5"/>
  <c r="AK18" i="5"/>
  <c r="Z18" i="5"/>
  <c r="AN18" i="5"/>
  <c r="V18" i="5"/>
  <c r="AJ18" i="5"/>
  <c r="Y47" i="5"/>
  <c r="AM47" i="5"/>
  <c r="U47" i="5"/>
  <c r="AI47" i="5"/>
  <c r="X47" i="5"/>
  <c r="AL47" i="5"/>
  <c r="W47" i="5"/>
  <c r="AK47" i="5"/>
  <c r="Z47" i="5"/>
  <c r="AN47" i="5"/>
  <c r="V47" i="5"/>
  <c r="AJ47" i="5"/>
  <c r="Y39" i="5"/>
  <c r="AM39" i="5"/>
  <c r="U39" i="5"/>
  <c r="AI39" i="5"/>
  <c r="X39" i="5"/>
  <c r="AL39" i="5"/>
  <c r="W39" i="5"/>
  <c r="AK39" i="5"/>
  <c r="Z39" i="5"/>
  <c r="AN39" i="5"/>
  <c r="V39" i="5"/>
  <c r="AJ39" i="5"/>
  <c r="Y36" i="5"/>
  <c r="AM36" i="5"/>
  <c r="U36" i="5"/>
  <c r="AI36" i="5"/>
  <c r="X36" i="5"/>
  <c r="AL36" i="5"/>
  <c r="W36" i="5"/>
  <c r="AK36" i="5"/>
  <c r="Z36" i="5"/>
  <c r="AN36" i="5"/>
  <c r="V36" i="5"/>
  <c r="AJ36" i="5"/>
  <c r="Y25" i="5"/>
  <c r="AM25" i="5"/>
  <c r="U25" i="5"/>
  <c r="AI25" i="5"/>
  <c r="X25" i="5"/>
  <c r="AL25" i="5"/>
  <c r="W25" i="5"/>
  <c r="AK25" i="5"/>
  <c r="Z25" i="5"/>
  <c r="AN25" i="5"/>
  <c r="V25" i="5"/>
  <c r="AJ25" i="5"/>
  <c r="Y16" i="5"/>
  <c r="AM16" i="5"/>
  <c r="U16" i="5"/>
  <c r="AI16" i="5"/>
  <c r="X16" i="5"/>
  <c r="AL16" i="5"/>
  <c r="W16" i="5"/>
  <c r="AK16" i="5"/>
  <c r="Z16" i="5"/>
  <c r="AN16" i="5"/>
  <c r="V16" i="5"/>
  <c r="AJ16" i="5"/>
  <c r="X26" i="5"/>
  <c r="AL26" i="5"/>
  <c r="Z26" i="5"/>
  <c r="AN26" i="5"/>
  <c r="Y26" i="5"/>
  <c r="AM26" i="5"/>
  <c r="W26" i="5"/>
  <c r="AK26" i="5"/>
  <c r="V26" i="5"/>
  <c r="AJ26" i="5"/>
  <c r="W30" i="5"/>
  <c r="AK30" i="5"/>
  <c r="Y30" i="5"/>
  <c r="AM30" i="5"/>
  <c r="V30" i="5"/>
  <c r="AJ30" i="5"/>
  <c r="Z30" i="5"/>
  <c r="AN30" i="5"/>
  <c r="X30" i="5"/>
  <c r="AL30" i="5"/>
  <c r="X34" i="5"/>
  <c r="AL34" i="5"/>
  <c r="U34" i="5"/>
  <c r="AI34" i="5"/>
  <c r="Y34" i="5"/>
  <c r="AM34" i="5"/>
  <c r="V34" i="5"/>
  <c r="AJ34" i="5"/>
  <c r="Z34" i="5"/>
  <c r="AN34" i="5"/>
  <c r="R82" i="4"/>
  <c r="T67" i="4"/>
  <c r="Q84" i="4"/>
  <c r="Q106" i="4"/>
  <c r="Q83" i="4"/>
  <c r="U89" i="4"/>
  <c r="T105" i="4"/>
  <c r="T21" i="4"/>
  <c r="R34" i="4"/>
  <c r="T51" i="4"/>
  <c r="R61" i="4"/>
  <c r="R47" i="4"/>
  <c r="R62" i="4"/>
  <c r="T38" i="4"/>
  <c r="V7" i="4"/>
  <c r="V17" i="4"/>
  <c r="W7" i="4"/>
  <c r="W17" i="4"/>
  <c r="U17" i="4"/>
  <c r="R84" i="4"/>
  <c r="R106" i="4"/>
  <c r="R83" i="4"/>
  <c r="U51" i="4"/>
  <c r="T61" i="4"/>
  <c r="W89" i="4"/>
  <c r="W105" i="4"/>
  <c r="V89" i="4"/>
  <c r="V105" i="4"/>
  <c r="U105" i="4"/>
  <c r="T82" i="4"/>
  <c r="U67" i="4"/>
  <c r="U38" i="4"/>
  <c r="T47" i="4"/>
  <c r="T34" i="4"/>
  <c r="U21" i="4"/>
  <c r="U47" i="4"/>
  <c r="V38" i="4"/>
  <c r="V47" i="4"/>
  <c r="W38" i="4"/>
  <c r="W47" i="4"/>
  <c r="U34" i="4"/>
  <c r="W21" i="4"/>
  <c r="W34" i="4"/>
  <c r="V21" i="4"/>
  <c r="V34" i="4"/>
  <c r="V67" i="4"/>
  <c r="V82" i="4"/>
  <c r="W67" i="4"/>
  <c r="W82" i="4"/>
  <c r="U82" i="4"/>
  <c r="T62" i="4"/>
  <c r="V51" i="4"/>
  <c r="V61" i="4"/>
  <c r="V62" i="4"/>
  <c r="U61" i="4"/>
  <c r="W51" i="4"/>
  <c r="W61" i="4"/>
  <c r="V84" i="4"/>
  <c r="V83" i="4"/>
  <c r="V106" i="4"/>
  <c r="T106" i="4"/>
  <c r="T83" i="4"/>
  <c r="T84" i="4"/>
  <c r="W62" i="4"/>
  <c r="U62" i="4"/>
  <c r="W84" i="4"/>
  <c r="W106" i="4"/>
  <c r="W83" i="4"/>
  <c r="U106" i="4"/>
  <c r="U83" i="4"/>
  <c r="U84" i="4"/>
  <c r="U10" i="5"/>
  <c r="AI10" i="5"/>
  <c r="X10" i="5"/>
  <c r="AL10" i="5"/>
  <c r="W10" i="5"/>
  <c r="AK10" i="5"/>
  <c r="V10" i="5"/>
  <c r="AJ10" i="5"/>
  <c r="Z10" i="5"/>
  <c r="AN10" i="5"/>
  <c r="Y10" i="5"/>
  <c r="AM10" i="5"/>
  <c r="S11" i="5"/>
  <c r="S52" i="5"/>
  <c r="Y9" i="5"/>
  <c r="AM9" i="5"/>
  <c r="V9" i="5"/>
  <c r="AJ9" i="5"/>
  <c r="Z9" i="5"/>
  <c r="AN9" i="5"/>
  <c r="U9" i="5"/>
  <c r="AI9" i="5"/>
  <c r="W9" i="5"/>
  <c r="AK9" i="5"/>
  <c r="X9" i="5"/>
  <c r="AL9" i="5"/>
  <c r="W6" i="5"/>
  <c r="AK6" i="5"/>
  <c r="Y6" i="5"/>
  <c r="AM6" i="5"/>
  <c r="Z6" i="5"/>
  <c r="AN6" i="5"/>
  <c r="V6" i="5"/>
  <c r="AJ6" i="5"/>
  <c r="U6" i="5"/>
  <c r="AI6" i="5"/>
  <c r="X6" i="5"/>
  <c r="AL6" i="5"/>
  <c r="X75" i="3"/>
  <c r="AL75" i="3"/>
  <c r="W75" i="3"/>
  <c r="AK75" i="3"/>
  <c r="Z75" i="3"/>
  <c r="AN75" i="3"/>
  <c r="Y75" i="3"/>
  <c r="AM75" i="3"/>
  <c r="U75" i="3"/>
  <c r="AI75" i="3"/>
  <c r="V75" i="3"/>
  <c r="AJ75" i="3"/>
  <c r="S16" i="3"/>
  <c r="X11" i="5"/>
  <c r="AL11" i="5"/>
  <c r="Z11" i="5"/>
  <c r="AN11" i="5"/>
  <c r="W11" i="5"/>
  <c r="AK11" i="5"/>
  <c r="U11" i="5"/>
  <c r="AI11" i="5"/>
  <c r="Y11" i="5"/>
  <c r="AM11" i="5"/>
  <c r="V11" i="5"/>
  <c r="AJ11" i="5"/>
  <c r="Y52" i="5"/>
  <c r="AM52" i="5"/>
  <c r="Z52" i="5"/>
  <c r="AN52" i="5"/>
  <c r="V52" i="5"/>
  <c r="AJ52" i="5"/>
  <c r="U52" i="5"/>
  <c r="AI52" i="5"/>
  <c r="X52" i="5"/>
  <c r="AL52" i="5"/>
  <c r="W52" i="5"/>
  <c r="AK52" i="5"/>
  <c r="X16" i="3"/>
  <c r="AL16" i="3"/>
  <c r="Y16" i="3"/>
  <c r="AM16" i="3"/>
  <c r="V16" i="3"/>
  <c r="AJ16" i="3"/>
  <c r="W16" i="3"/>
  <c r="AK16" i="3"/>
  <c r="U16" i="3"/>
  <c r="AI16" i="3"/>
  <c r="Z16" i="3"/>
  <c r="AN16" i="3"/>
</calcChain>
</file>

<file path=xl/sharedStrings.xml><?xml version="1.0" encoding="utf-8"?>
<sst xmlns="http://schemas.openxmlformats.org/spreadsheetml/2006/main" count="1590" uniqueCount="462">
  <si>
    <t>CI</t>
  </si>
  <si>
    <t>ASIGNATURA</t>
  </si>
  <si>
    <t>ACADEMICA</t>
  </si>
  <si>
    <t>INVESTIGACIÓN</t>
  </si>
  <si>
    <t>EXTENSIÓN UNIV.</t>
  </si>
  <si>
    <t>INTERACCIÓN SOCIAL</t>
  </si>
  <si>
    <t>GESTIÓN</t>
  </si>
  <si>
    <t>ACADÉMICA ADM.</t>
  </si>
  <si>
    <t>SOCIAL, CULTURAL Y 
DEPORTIVA</t>
  </si>
  <si>
    <t>HORAS/MES</t>
  </si>
  <si>
    <t>HORAS
DISPONIBLES</t>
  </si>
  <si>
    <t>HORAS DOCENCIA/
AÑO</t>
  </si>
  <si>
    <t>Horas docencia/semana</t>
  </si>
  <si>
    <t>HORAS DOCENCIA/PERIODO
ACADEMICO
AÑO (40 SEMANAS)</t>
  </si>
  <si>
    <t>HORAS EXCEDENTES/AÑO</t>
  </si>
  <si>
    <t>RECESOS Y FERIADOS</t>
  </si>
  <si>
    <t>RESULTADO</t>
  </si>
  <si>
    <t>UNIDAD DE MEDIDA</t>
  </si>
  <si>
    <t>ITEMS</t>
  </si>
  <si>
    <t>REFERENCIAS</t>
  </si>
  <si>
    <t>OBSERVACIONES</t>
  </si>
  <si>
    <t>Académica</t>
  </si>
  <si>
    <t>Proyectos Académicos</t>
  </si>
  <si>
    <t>Estas actividades serán planificadas considerando:</t>
  </si>
  <si>
    <t>Reglamentos</t>
  </si>
  <si>
    <t>Calendario Académico</t>
  </si>
  <si>
    <t>Manuales</t>
  </si>
  <si>
    <t>Tiempo antes, durante y post clases en coordinación del director de carrera.</t>
  </si>
  <si>
    <t>Instructivos</t>
  </si>
  <si>
    <t>Disposiciones de las instancias legislativas</t>
  </si>
  <si>
    <t>Investigación</t>
  </si>
  <si>
    <t>Plan de Estudios</t>
  </si>
  <si>
    <t>Aspecto:</t>
  </si>
  <si>
    <t>Perfil Profesional</t>
  </si>
  <si>
    <t>Tecnológico</t>
  </si>
  <si>
    <t>Fundamentos Curriculares</t>
  </si>
  <si>
    <t>Humanístico</t>
  </si>
  <si>
    <t>Medios Tecnológicos</t>
  </si>
  <si>
    <t>Científico social; y difusión cultural.</t>
  </si>
  <si>
    <t>Reglamentación</t>
  </si>
  <si>
    <t>Extensión Universitaria</t>
  </si>
  <si>
    <t>Proyectos elaborados</t>
  </si>
  <si>
    <t>Estas actividades serán planificadas antes, durante y post clases</t>
  </si>
  <si>
    <t>Resoluciones</t>
  </si>
  <si>
    <t>Invitaciones</t>
  </si>
  <si>
    <t>Interacción Social</t>
  </si>
  <si>
    <t>Ferias</t>
  </si>
  <si>
    <t>Se planificarán las actividades considerando la interrelación de la teoría y la práctica durante todo el período o gestión académica</t>
  </si>
  <si>
    <t xml:space="preserve">Actividades planificadas por la decanatura, dirección de carrera, </t>
  </si>
  <si>
    <t>Memorándums</t>
  </si>
  <si>
    <t>Circulares</t>
  </si>
  <si>
    <t>Gestión</t>
  </si>
  <si>
    <t>Convenios</t>
  </si>
  <si>
    <t>Estas actividades serán planificadas antes, durante y post clases, considerando el PEA, admisión y graduación de los universitarios</t>
  </si>
  <si>
    <t>Académica Administrativa</t>
  </si>
  <si>
    <t>Participar en la logística de la carrera,</t>
  </si>
  <si>
    <t>Se planificarán en consideración con las características de la carrera, el PEA, admisión y graduación de los universitarios</t>
  </si>
  <si>
    <t>Gestión en difusión del perfil profesional</t>
  </si>
  <si>
    <t>Participación en las CAAC</t>
  </si>
  <si>
    <t>Participación en comisión de innovación curricular</t>
  </si>
  <si>
    <t>Programas Analíticos</t>
  </si>
  <si>
    <t>Social, cultural y deportiva</t>
  </si>
  <si>
    <t xml:space="preserve">Aniversarios, </t>
  </si>
  <si>
    <t>Se las planificará de manera intra y extra clases de acuerdo a las características de la carrera, convocatorias e invitaciones</t>
  </si>
  <si>
    <t>Entrada folclórica, Campeonatos deportivos, Concursos</t>
  </si>
  <si>
    <t>Convocatorias</t>
  </si>
  <si>
    <t>Eventos culturales</t>
  </si>
  <si>
    <r>
      <rPr>
        <sz val="8"/>
        <color theme="1"/>
        <rFont val="Times New Roman"/>
        <family val="1"/>
      </rPr>
      <t xml:space="preserve"> </t>
    </r>
    <r>
      <rPr>
        <sz val="8"/>
        <color theme="1"/>
        <rFont val="Calibri"/>
        <family val="2"/>
        <scheme val="minor"/>
      </rPr>
      <t>Componentes internos del proceso de enseñanza aprendizaje.           (Programa analitico + plan de clases)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</si>
  <si>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Asesorías y Tutorías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</si>
  <si>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Investigación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</si>
  <si>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Extensión Social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</si>
  <si>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Prácticas (pre profesional y/o laboral).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</si>
  <si>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Laboratorios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</si>
  <si>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Gabinetes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</si>
  <si>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Módulos productivos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</si>
  <si>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Complementaciones curriculares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</si>
  <si>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Interrelación con nuevas tecnologías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</si>
  <si>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Nuevas Metodologías de trabajo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</si>
  <si>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Participación y/o elaboración de proyectos de investigación a nivel de carrera.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</si>
  <si>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Perfeccionamiento de la relación teoría/práctica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</si>
  <si>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Reingeniería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</si>
  <si>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Proyección social en la labor docente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</si>
  <si>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Cursos, Seminarios y talleres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</si>
  <si>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Capacitaciones laborales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</si>
  <si>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Conferencia, jornadas de trabajo y video conferencia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</si>
  <si>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Asistencia Técnica a terceros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</si>
  <si>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Asesoramiento a entidades y sectores de la sociedad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</si>
  <si>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Coro, orquestas, artísticas, culturales y voluntariado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</si>
  <si>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Ejecutar programas, proyectos y actividades de proyección social que contribuyan al desarrollo humano sostenible de la sociedad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</si>
  <si>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 xml:space="preserve">Integrar la educación universitaria con la realidad local, regional y nacional, dentro y fuera del PEA 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</si>
  <si>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Participar en el desarrollo de la cultura con principios y valores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</si>
  <si>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Divulgar los aportes de la enseñanza, la investigación, la cultura, el arte y la técnica para impulsar el perfil profesional.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</si>
  <si>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Difusión de avances científicos y tecnológicos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</si>
  <si>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Promover la cultura general fortaleciendo la dignidad humana;</t>
    </r>
  </si>
  <si>
    <r>
      <t>-</t>
    </r>
    <r>
      <rPr>
        <sz val="8"/>
        <color theme="1"/>
        <rFont val="Times New Roman"/>
        <family val="1"/>
      </rPr>
      <t xml:space="preserve">      </t>
    </r>
    <r>
      <rPr>
        <sz val="8"/>
        <color theme="1"/>
        <rFont val="Calibri"/>
        <family val="2"/>
        <scheme val="minor"/>
      </rPr>
      <t>Proporcionar servicios de asesoría y/o consultoría a las instituciones en todos los campos del conocimiento.</t>
    </r>
  </si>
  <si>
    <r>
      <t xml:space="preserve">Proporcionar diálogo para establecer el intercambio de conocimientos, de saberes y establecer vínculos de cooperación en el diseño y en la ejecución de políticas académicas con los sectores: Gubernamental, empresarial, organismos, asociaciones, instituciones, comunidades entre otras.  </t>
    </r>
    <r>
      <rPr>
        <b/>
        <sz val="8"/>
        <color theme="1"/>
        <rFont val="Calibri"/>
        <family val="2"/>
        <scheme val="minor"/>
      </rPr>
      <t xml:space="preserve"> - Periodo de Vacaciones</t>
    </r>
  </si>
  <si>
    <t>vacación (hrs)</t>
  </si>
  <si>
    <t>Unidades de Medida (HORAS)</t>
  </si>
  <si>
    <t>DOCENTE</t>
  </si>
  <si>
    <t>NRO</t>
  </si>
  <si>
    <t>NIVEL ACADEMICO</t>
  </si>
  <si>
    <t>GRUPO</t>
  </si>
  <si>
    <t>SIGLA</t>
  </si>
  <si>
    <t>MATERIA</t>
  </si>
  <si>
    <t>C.I.</t>
  </si>
  <si>
    <t>FUNCION ADMINISTRATIVA</t>
  </si>
  <si>
    <t>TIPO DOCENTE</t>
  </si>
  <si>
    <t>TIPO ASIGNACION</t>
  </si>
  <si>
    <t>A</t>
  </si>
  <si>
    <t>CB</t>
  </si>
  <si>
    <t>A100</t>
  </si>
  <si>
    <t>ALGEBRA I</t>
  </si>
  <si>
    <t>ZARATE CAMACHO SANDRA</t>
  </si>
  <si>
    <t>NINGUNA</t>
  </si>
  <si>
    <t>Titular</t>
  </si>
  <si>
    <t>Tiempo Horario</t>
  </si>
  <si>
    <t>B</t>
  </si>
  <si>
    <t>ROSALES MERCADO MAURICIO OSWALDO</t>
  </si>
  <si>
    <t>Interino</t>
  </si>
  <si>
    <t>F100</t>
  </si>
  <si>
    <t>FÍSICA I</t>
  </si>
  <si>
    <t>CALLE MARZANA RAMIRO</t>
  </si>
  <si>
    <t>Tiempo Completo</t>
  </si>
  <si>
    <t>GOMEZ MORANT ADRIANA</t>
  </si>
  <si>
    <t>APOYO - AREA DE DESARROLLO CURRICULAR</t>
  </si>
  <si>
    <t>C100</t>
  </si>
  <si>
    <t>CÁLCULO I</t>
  </si>
  <si>
    <t>YRA SOSA ADONAY</t>
  </si>
  <si>
    <t>P100</t>
  </si>
  <si>
    <t>PROGRAMACIÓN I</t>
  </si>
  <si>
    <t>SALAZAR VELASQUEZ RAMIRO</t>
  </si>
  <si>
    <t>ROSAS MEJIA GABRIELA</t>
  </si>
  <si>
    <t>CS</t>
  </si>
  <si>
    <t>HSE100</t>
  </si>
  <si>
    <t>SISTEMAS ECONÓMICOS</t>
  </si>
  <si>
    <t>ORTIZ RODAL FABIAN ALEJANDRO</t>
  </si>
  <si>
    <t>FRANCO APURY LUIS ANTONIO</t>
  </si>
  <si>
    <t>HIT100</t>
  </si>
  <si>
    <t>INGLÉS TÉCNICO I</t>
  </si>
  <si>
    <t>NATUSCH VARGAS MARIO</t>
  </si>
  <si>
    <t>LEIGUE VACA HUGO MARCELO</t>
  </si>
  <si>
    <t>A200</t>
  </si>
  <si>
    <t>ALGEBRA II</t>
  </si>
  <si>
    <t>VACA ANGULO FATIMA CARMELA</t>
  </si>
  <si>
    <t>CHAO RIVERO WILLIAM</t>
  </si>
  <si>
    <t>C200</t>
  </si>
  <si>
    <t>CÁLCULO II</t>
  </si>
  <si>
    <t>NAVARRO CAYO ADOLFO</t>
  </si>
  <si>
    <t>WILLY MAE JUAN</t>
  </si>
  <si>
    <t>F200</t>
  </si>
  <si>
    <t>FÍSICA III</t>
  </si>
  <si>
    <t>LANDIVAR DURAN RENE</t>
  </si>
  <si>
    <t>LOPEZ MACHICAO KARINA</t>
  </si>
  <si>
    <t>P200</t>
  </si>
  <si>
    <t>PROGRAMACIÓN II</t>
  </si>
  <si>
    <t>HAE200</t>
  </si>
  <si>
    <t>ADMINISTRACIÓN DE EMPRESAS</t>
  </si>
  <si>
    <t>SEJAS SUAREZ CONSTANTINO</t>
  </si>
  <si>
    <t>1910272-1U</t>
  </si>
  <si>
    <t>NINGUNO</t>
  </si>
  <si>
    <t>JUSTINIANO MEJIA RUBEN DARIO</t>
  </si>
  <si>
    <t>HIT200</t>
  </si>
  <si>
    <t>INGLÉS TÉCNICO II</t>
  </si>
  <si>
    <t>PEDRAZA LANGUIDEY JESÚS YVAN</t>
  </si>
  <si>
    <t>E300</t>
  </si>
  <si>
    <t>ESTADÍSTICA I</t>
  </si>
  <si>
    <t>C300</t>
  </si>
  <si>
    <t>CÁLCULO III</t>
  </si>
  <si>
    <t>JUSTINIANO HURTADO ALEJANDRO</t>
  </si>
  <si>
    <t>ORTUÑO SORIA ANTONIO ALEJANDRO</t>
  </si>
  <si>
    <t>M300</t>
  </si>
  <si>
    <t>MATEMATICA DISCRETA</t>
  </si>
  <si>
    <t>MORALES BARROSO EDUARDO SERAPIO</t>
  </si>
  <si>
    <t>ESTRUCTURA DE DATOS I</t>
  </si>
  <si>
    <t>ARGGIRO SORUCO LILIANA</t>
  </si>
  <si>
    <t>B300</t>
  </si>
  <si>
    <t>BASE DE DATOS I</t>
  </si>
  <si>
    <t>RODRIGUEZ RIVERO HERMES</t>
  </si>
  <si>
    <t>P300</t>
  </si>
  <si>
    <t>PROGRAMACIÓN III</t>
  </si>
  <si>
    <t>FARAH CHAVEZ MARIA YUSARA</t>
  </si>
  <si>
    <t>E400</t>
  </si>
  <si>
    <t>ESTADÍSTICA II</t>
  </si>
  <si>
    <t>D400</t>
  </si>
  <si>
    <t>SISTEMAS DIGITALES</t>
  </si>
  <si>
    <t>MACHICADO TERAN JOSE LUIS</t>
  </si>
  <si>
    <t>HCB400</t>
  </si>
  <si>
    <t>CONTABILIDAD BÁSICA</t>
  </si>
  <si>
    <t>NUÑEZ TICONA ROLANDO ALBERTO</t>
  </si>
  <si>
    <t>N400</t>
  </si>
  <si>
    <t>MÉTODOS NÚMERICOS</t>
  </si>
  <si>
    <t>A400</t>
  </si>
  <si>
    <t>ANÁLISIS Y DISEÑO DE ALGORITMOS</t>
  </si>
  <si>
    <t>HCO400</t>
  </si>
  <si>
    <t>COMUNICACIÓN ORAL Y ESCRITA</t>
  </si>
  <si>
    <t>CORTEZ MELGAR LAURA MELISSA</t>
  </si>
  <si>
    <t>1933293-1K</t>
  </si>
  <si>
    <t>RESPONSABLE - PROGRAMA INGENIERIA MECANICA AUTOMOTRIZ</t>
  </si>
  <si>
    <t>C500</t>
  </si>
  <si>
    <t>ARQUITECTURA DE COMPUTADORAS</t>
  </si>
  <si>
    <t>B500</t>
  </si>
  <si>
    <t>BASE DE DATOS II</t>
  </si>
  <si>
    <t>ANCASI COLQUE JUAN</t>
  </si>
  <si>
    <t>I500</t>
  </si>
  <si>
    <t>METODOLOGÍA DE LA INVESTIGACIÓN I</t>
  </si>
  <si>
    <t>REA SUAREZ ADRIAN</t>
  </si>
  <si>
    <t>S500</t>
  </si>
  <si>
    <t>INGENIERIA DE SISTEMAS</t>
  </si>
  <si>
    <t>SOLETO RUIZ JERRY WILSON</t>
  </si>
  <si>
    <t>IA</t>
  </si>
  <si>
    <t>SISTEMAS DE INFORMACION I</t>
  </si>
  <si>
    <t>MONTERO KENAPP EDGAR</t>
  </si>
  <si>
    <t>SECRETARIO(A) ACADEMICO</t>
  </si>
  <si>
    <t>Funciones de Autoridad</t>
  </si>
  <si>
    <t>INVESTIGACIÓN OPERATIVA I</t>
  </si>
  <si>
    <t>SUAREZ AVILA MARCELO</t>
  </si>
  <si>
    <t>JEFE DE ESTUDIOS</t>
  </si>
  <si>
    <t>S600</t>
  </si>
  <si>
    <t>SISTEMAS OPERATIVOS</t>
  </si>
  <si>
    <t>DURAN CARVALHO MARCO ANTONIO</t>
  </si>
  <si>
    <t>E600</t>
  </si>
  <si>
    <t>ESTRUCTURA DE DATOS II</t>
  </si>
  <si>
    <t>R600</t>
  </si>
  <si>
    <t>REDES I</t>
  </si>
  <si>
    <t>SANCHEZ VELASCO RENE ADOLFO JESUS</t>
  </si>
  <si>
    <t>SISTEMAS DE INFORMACIÓN II</t>
  </si>
  <si>
    <t>MENDOZA BARRERA RAUL ORLANDO</t>
  </si>
  <si>
    <t>I600</t>
  </si>
  <si>
    <t>INVESTIGACIÓN OPERATIVA II</t>
  </si>
  <si>
    <t>I601</t>
  </si>
  <si>
    <t>INGENIERIA DE SOFTWARE I</t>
  </si>
  <si>
    <t>ROSAS CALLAU JHONNY</t>
  </si>
  <si>
    <t>I700</t>
  </si>
  <si>
    <t>INGENIERIA DE METODOS</t>
  </si>
  <si>
    <t>S700</t>
  </si>
  <si>
    <t>SISTEMAS DE INFORMACIÓN GEOGRAFICA</t>
  </si>
  <si>
    <t>T700</t>
  </si>
  <si>
    <t>TECNOLOGIAS EMERGENTES</t>
  </si>
  <si>
    <t>HPI700</t>
  </si>
  <si>
    <t>PRÁCTICA INSTITUCIONAL</t>
  </si>
  <si>
    <t>HURTADO CORTEZ MARYSABEL</t>
  </si>
  <si>
    <t>HM700</t>
  </si>
  <si>
    <t>MERCADOTECNIA</t>
  </si>
  <si>
    <t>SAAVEDRA VASQUEZ ELIZABETH</t>
  </si>
  <si>
    <t>HPP700</t>
  </si>
  <si>
    <t>PREPARACIÓN Y EVALUACIÓN DE PROYECTOS</t>
  </si>
  <si>
    <t>G800</t>
  </si>
  <si>
    <t>GESTION DE PROYECTOS</t>
  </si>
  <si>
    <t>NOE FLORES ARACELY</t>
  </si>
  <si>
    <t>C800</t>
  </si>
  <si>
    <t>GESTIÓN DE CALIDAD</t>
  </si>
  <si>
    <t>B800</t>
  </si>
  <si>
    <t>TALLER DE BASE DE DATOS</t>
  </si>
  <si>
    <t>I800</t>
  </si>
  <si>
    <t>INGENIERIA DE SOFTWARE II</t>
  </si>
  <si>
    <t>M800</t>
  </si>
  <si>
    <t>MODELACION Y SIMULACIÓN DE SISTEMAS I</t>
  </si>
  <si>
    <t>CACERES GARCIA ROBERTO CARLOS</t>
  </si>
  <si>
    <t>HIL800</t>
  </si>
  <si>
    <t>INGENIERÍA LEGAL/ÉTICA DEONTOLOGÍA</t>
  </si>
  <si>
    <t>E800</t>
  </si>
  <si>
    <t>CIRCUITOS ELECTRICOS</t>
  </si>
  <si>
    <t>VACAFLORES MORENO ALDO</t>
  </si>
  <si>
    <t>R800</t>
  </si>
  <si>
    <t>REDES II</t>
  </si>
  <si>
    <t>M900</t>
  </si>
  <si>
    <t>METODOLOGÍA DE LA INVESTIGACION II</t>
  </si>
  <si>
    <t>HURTADO MONASTERIO PEDRO MANUEL</t>
  </si>
  <si>
    <t>DIRECTOR(A)</t>
  </si>
  <si>
    <t>D900</t>
  </si>
  <si>
    <t>DINAMICA DE SISTEMAS</t>
  </si>
  <si>
    <t>CANAZA JAHUIRA FAUSTO</t>
  </si>
  <si>
    <t>T900</t>
  </si>
  <si>
    <t>TALLER DE PROGRAMACIÓN</t>
  </si>
  <si>
    <t>CALDERON FUERTES RAUL MARCELO</t>
  </si>
  <si>
    <t>M901</t>
  </si>
  <si>
    <t>MODELACIÓN Y SIMULACIÓN DE SISTEMAS II</t>
  </si>
  <si>
    <t>I900</t>
  </si>
  <si>
    <t>INTELIGENCIA ARTIFICIAL</t>
  </si>
  <si>
    <t>LOPEZ PAREDES MAURICIO</t>
  </si>
  <si>
    <t>A900</t>
  </si>
  <si>
    <t>AUDITORIA Y SEGURIDAD INFORMÁTICA</t>
  </si>
  <si>
    <t>MOLINA CORDOVA DANIEL</t>
  </si>
  <si>
    <t>E900</t>
  </si>
  <si>
    <t>CIRCUITOS ELECTRONICOS</t>
  </si>
  <si>
    <t>RODRIGUEZ BARBERY JOSE LUIS</t>
  </si>
  <si>
    <t>I901</t>
  </si>
  <si>
    <t>INGENIERIA DE MANTENIMIENTO</t>
  </si>
  <si>
    <t>YABETA MALDONADO JUAN PABLO</t>
  </si>
  <si>
    <t>R900</t>
  </si>
  <si>
    <t>TALLER DE REDES</t>
  </si>
  <si>
    <t>ORTIZ AGUILERA ALEX</t>
  </si>
  <si>
    <t>M1000</t>
  </si>
  <si>
    <t>MODALIDAD DE GRADUACIÓN</t>
  </si>
  <si>
    <t>PEREZ SEGOVIA JOSE LUIS</t>
  </si>
  <si>
    <t>ÁREAS DEL PLAN DE ESTUDIOS CIS 2013</t>
  </si>
  <si>
    <t>ÁREAS DEL PLAN DE ESTUDIOS CIS 2013 - TRONCO COMÚN</t>
  </si>
  <si>
    <t>ÁREA CIENCIAS BÁSICAS</t>
  </si>
  <si>
    <t>semanas/semestre</t>
  </si>
  <si>
    <t>AREA</t>
  </si>
  <si>
    <t>ID</t>
  </si>
  <si>
    <t>SEMESTRE</t>
  </si>
  <si>
    <t>NIVEL</t>
  </si>
  <si>
    <t>Horas Acad. Teóricas /Semana</t>
  </si>
  <si>
    <t>Horas Acad. Prácticas /Semana</t>
  </si>
  <si>
    <t>Horas Acad. Laboratorio /Semana</t>
  </si>
  <si>
    <t>Total H Académicas /Semana</t>
  </si>
  <si>
    <t>PRERREQUISITOS</t>
  </si>
  <si>
    <t>Total H Trabajo Independiente /Semana</t>
  </si>
  <si>
    <t>Horas Acad. Teóricas /Semestre</t>
  </si>
  <si>
    <t>Horas Acad. Prácticas /Semestre</t>
  </si>
  <si>
    <t>Horas Acad. Laboratorio /Semestre</t>
  </si>
  <si>
    <t>Total Horas Académicas /Semestre</t>
  </si>
  <si>
    <t>Total Horas Reloj/ Semestre</t>
  </si>
  <si>
    <t>Relación de Asignación Horas Trabajo Independiente</t>
  </si>
  <si>
    <t>Total H Trabajo Independiente/ Semestre</t>
  </si>
  <si>
    <t>Total Horas Reloj Carga de Trabajo</t>
  </si>
  <si>
    <t>Créditos Académicos</t>
  </si>
  <si>
    <t>Total Horas Académicas Carga de Trabajo</t>
  </si>
  <si>
    <t>PRIMERO</t>
  </si>
  <si>
    <t>CBA 100</t>
  </si>
  <si>
    <t>ADMISION UAB</t>
  </si>
  <si>
    <t>CBF 100</t>
  </si>
  <si>
    <t>ÁREAS</t>
  </si>
  <si>
    <t>ASIGNATURAS</t>
  </si>
  <si>
    <t>RANGO RECOMENDADO</t>
  </si>
  <si>
    <t>CBC 100</t>
  </si>
  <si>
    <t>CANTIDAD</t>
  </si>
  <si>
    <t>PORCENTAJE</t>
  </si>
  <si>
    <t>CBP 100</t>
  </si>
  <si>
    <t>Ciencias Básicas</t>
  </si>
  <si>
    <t>25% a 30%</t>
  </si>
  <si>
    <t>SEGUNDO</t>
  </si>
  <si>
    <t>CBA 200</t>
  </si>
  <si>
    <t>Ciencias de la Ingeniería</t>
  </si>
  <si>
    <t>30% a 35%</t>
  </si>
  <si>
    <t>CBC 200</t>
  </si>
  <si>
    <t>CALCULO II</t>
  </si>
  <si>
    <t>Ingeniería Aplicada</t>
  </si>
  <si>
    <t>20% a 30%</t>
  </si>
  <si>
    <t>CBF 200</t>
  </si>
  <si>
    <t>Ciencias Sociales y Humanísticas</t>
  </si>
  <si>
    <t>5% a 8%</t>
  </si>
  <si>
    <t>TERCERO</t>
  </si>
  <si>
    <t>CBE 300</t>
  </si>
  <si>
    <t>CBC 100, CBA 100</t>
  </si>
  <si>
    <t>Total</t>
  </si>
  <si>
    <t>CBC 300</t>
  </si>
  <si>
    <t>CALCULO III</t>
  </si>
  <si>
    <t>CUARTO</t>
  </si>
  <si>
    <t>CBE 400</t>
  </si>
  <si>
    <t>TOTALES CIENCIAS BÁSICAS</t>
  </si>
  <si>
    <t>ÁREA CIENCIAS DE LA INGENIERÍA</t>
  </si>
  <si>
    <t>Total Horas Acad. /Semana</t>
  </si>
  <si>
    <t>Horas de trabajo independiente</t>
  </si>
  <si>
    <t>CIP 200</t>
  </si>
  <si>
    <t>PROGRAMACION II</t>
  </si>
  <si>
    <t>CIM 300</t>
  </si>
  <si>
    <t>CIE 300</t>
  </si>
  <si>
    <t>CIB 300</t>
  </si>
  <si>
    <t>CIP 300</t>
  </si>
  <si>
    <t>PROGRAMACION III</t>
  </si>
  <si>
    <t>CID 400</t>
  </si>
  <si>
    <t>CIN 400</t>
  </si>
  <si>
    <t>METODOS NUMERICOS</t>
  </si>
  <si>
    <t>CIA 400</t>
  </si>
  <si>
    <t>ANALISIS Y DISEÑO DE ALGORITMOS</t>
  </si>
  <si>
    <t>QUINTO</t>
  </si>
  <si>
    <t>CIC 500</t>
  </si>
  <si>
    <t>CIB 500</t>
  </si>
  <si>
    <t>CII 500</t>
  </si>
  <si>
    <t>METODOLOGIA DE LA INVESTIGACION I</t>
  </si>
  <si>
    <t>CSHCO 400</t>
  </si>
  <si>
    <t>CIS 500</t>
  </si>
  <si>
    <t>SIN PRERREQUISITOS</t>
  </si>
  <si>
    <t>SEXTO</t>
  </si>
  <si>
    <t>CIS 600</t>
  </si>
  <si>
    <t>TOTALES CIENCIAS DE LA INGENIERÍA</t>
  </si>
  <si>
    <t>AREA CIENCIAS SOCIOHUMANÍSTICAS</t>
  </si>
  <si>
    <t>CSH</t>
  </si>
  <si>
    <t>CSHSE 100</t>
  </si>
  <si>
    <t>CSHIT 100</t>
  </si>
  <si>
    <t>CSHAE 200</t>
  </si>
  <si>
    <t>CSHIT 200</t>
  </si>
  <si>
    <t>CSHCB 400</t>
  </si>
  <si>
    <t>CSHPI 700</t>
  </si>
  <si>
    <t>IAR 600</t>
  </si>
  <si>
    <t>CSHM 700</t>
  </si>
  <si>
    <t>CSHPP 700</t>
  </si>
  <si>
    <t>TOTALES CIENCIAS SOCIOHUMANÍSTICAS</t>
  </si>
  <si>
    <t>ÁREA INGENIERÍA APLICADA</t>
  </si>
  <si>
    <t>IAS 500</t>
  </si>
  <si>
    <t>IAI 500</t>
  </si>
  <si>
    <t>INVESTIGACION OPERATIVA I</t>
  </si>
  <si>
    <t>IAE 600</t>
  </si>
  <si>
    <t>IAS 600</t>
  </si>
  <si>
    <t>SISTEMAS DE INFORMACION II</t>
  </si>
  <si>
    <t>IAI 600</t>
  </si>
  <si>
    <t>INVESTIGACION OPERATIVA II</t>
  </si>
  <si>
    <t>IAI 601</t>
  </si>
  <si>
    <t>SÉPTIMO</t>
  </si>
  <si>
    <t>IAI 700</t>
  </si>
  <si>
    <t>IAS 700</t>
  </si>
  <si>
    <t xml:space="preserve">SISTEMAS DE INFORMACION GEOGRAFICA </t>
  </si>
  <si>
    <t>IAT 700</t>
  </si>
  <si>
    <t>TOTALES INGENIERÍA APLICADA</t>
  </si>
  <si>
    <t>TOTALES TRONCO COMÚN</t>
  </si>
  <si>
    <t>ÁREAS DEL PLAN DE ESTUDIOS CIS 2013 - MENCIÓN INGENIERÍA DE SOFTWARE</t>
  </si>
  <si>
    <t>AREA CIENCIAS DE LA INGENIERÍA</t>
  </si>
  <si>
    <t>CIG 800</t>
  </si>
  <si>
    <t>CIC 800</t>
  </si>
  <si>
    <t>GESTION DE CALIDAD</t>
  </si>
  <si>
    <t>CIB 800</t>
  </si>
  <si>
    <t>CSHIL 800</t>
  </si>
  <si>
    <t>IAI 800</t>
  </si>
  <si>
    <t>IAM 800</t>
  </si>
  <si>
    <t>IAM 900</t>
  </si>
  <si>
    <t>METODOLOGIA DE LA INVESTIGACION II</t>
  </si>
  <si>
    <t>IAD 900</t>
  </si>
  <si>
    <t>IAT 900</t>
  </si>
  <si>
    <t>IAM 901</t>
  </si>
  <si>
    <t>MODELACION Y SIMULACION DE SISTEMAS II</t>
  </si>
  <si>
    <t>IAI 900</t>
  </si>
  <si>
    <t>IAA 900</t>
  </si>
  <si>
    <t>AUDITORIA Y SEGURIDAD  INFORMÁTICA</t>
  </si>
  <si>
    <t>CSHPI 700, IAI 800</t>
  </si>
  <si>
    <t>IAM 1000</t>
  </si>
  <si>
    <t>NOVENO SEMESTRE</t>
  </si>
  <si>
    <t>TOTALES MENCIÓN INGENIERÍA DE SOFTWARE</t>
  </si>
  <si>
    <t>TOTAL HORAS ACADÉMICAS - MENCIÓN INGENIERIA DE SOFTWARE</t>
  </si>
  <si>
    <t>TOTALES CARRERA</t>
  </si>
  <si>
    <t>ÁREAS DEL PLAN DE ESTUDIOS CIS 2013 - MENCIÓN TELEINFORMÁTICA</t>
  </si>
  <si>
    <t>AREA CIENCIAS BÁSICAS</t>
  </si>
  <si>
    <t>CBE 800</t>
  </si>
  <si>
    <t>CBE 900</t>
  </si>
  <si>
    <t>ÁREA CIENCIAS SOCIOHUMANÍSTICAS</t>
  </si>
  <si>
    <t>IAE 600, IAI 700</t>
  </si>
  <si>
    <t>IAR 800</t>
  </si>
  <si>
    <t>IAI 601, CSHPI 700</t>
  </si>
  <si>
    <t>IAI 901</t>
  </si>
  <si>
    <t>IAR 900</t>
  </si>
  <si>
    <t>TOTALES MENCIÓN TELEINFORMÁTICA</t>
  </si>
  <si>
    <t>TOTAL HORAS ACADÉMICAS - MENCIÓN TELEINFORMATICA</t>
  </si>
  <si>
    <t>EJECUCIÓN (CERTIFICACIÓN JEFATURA DE ESTUDIOS)</t>
  </si>
  <si>
    <t>HORAS TC/AÑO</t>
  </si>
  <si>
    <t>FONDO DE TIEMPO - DOCENTES TIEMPO COMPLETO - CIS 2021</t>
  </si>
  <si>
    <t>TIEMPO COM LETO</t>
  </si>
  <si>
    <t>HORAS TC/semana</t>
  </si>
  <si>
    <t>HORAS TC/mes</t>
  </si>
  <si>
    <t>FONDO DE TIEMPO DOCENCIA CIS 2021</t>
  </si>
  <si>
    <t>HORAS ASIGNADAS</t>
  </si>
  <si>
    <t xml:space="preserve">DOCENTE: </t>
  </si>
  <si>
    <t xml:space="preserve">ASIGNATURA: </t>
  </si>
  <si>
    <t>FECHA</t>
  </si>
  <si>
    <t>CARGO/RESPONSABILIDAD:</t>
  </si>
  <si>
    <t>TOTAL LABOR DOCENTE Hrs/Año</t>
  </si>
  <si>
    <t>TOTAL TIEMPO COMPLETOHrs/Año</t>
  </si>
  <si>
    <t>GESTIÓN:</t>
  </si>
  <si>
    <t>Lic. William Chao Rivero</t>
  </si>
  <si>
    <t>ALGEBRA II - B</t>
  </si>
  <si>
    <t>DOCENTE:</t>
  </si>
  <si>
    <t>Responsable IIISyP - CIS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</si>
</sst>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sz val="10"/>
      <name val="Times New Roman"/>
      <family val="1"/>
    </font>
    <font>
      <b/>
      <sz val="8"/>
      <name val="Times New Roman"/>
      <family val="1"/>
    </font>
    <font>
      <b/>
      <sz val="9"/>
      <color theme="1"/>
      <name val="Calibri"/>
      <family val="2"/>
      <scheme val="minor"/>
    </font>
    <font>
      <b/>
      <sz val="14"/>
      <name val="Times New Roma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11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color rgb="FF7030A0"/>
      <name val="Calibri"/>
      <family val="2"/>
      <scheme val="minor"/>
    </font>
    <font>
      <sz val="7"/>
      <name val="Arial"/>
      <family val="2"/>
    </font>
    <font>
      <sz val="7"/>
      <color rgb="FFFF0000"/>
      <name val="Arial"/>
      <family val="2"/>
    </font>
    <font>
      <sz val="10"/>
      <color rgb="FFFF0000"/>
      <name val="Arial"/>
      <family val="2"/>
    </font>
    <font>
      <b/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sz val="8"/>
      <color rgb="FFFFFF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 style="medium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5" fillId="0" borderId="2" xfId="0" applyFont="1" applyBorder="1" applyAlignment="1">
      <alignment horizontal="center"/>
    </xf>
    <xf numFmtId="0" fontId="7" fillId="9" borderId="2" xfId="0" applyFont="1" applyFill="1" applyBorder="1" applyAlignment="1">
      <alignment horizontal="right" textRotation="90"/>
    </xf>
    <xf numFmtId="0" fontId="7" fillId="5" borderId="2" xfId="0" applyFont="1" applyFill="1" applyBorder="1" applyAlignment="1">
      <alignment horizontal="right" textRotation="90"/>
    </xf>
    <xf numFmtId="0" fontId="7" fillId="7" borderId="2" xfId="0" applyFont="1" applyFill="1" applyBorder="1" applyAlignment="1">
      <alignment horizontal="right" textRotation="90"/>
    </xf>
    <xf numFmtId="0" fontId="7" fillId="6" borderId="2" xfId="0" applyFont="1" applyFill="1" applyBorder="1" applyAlignment="1">
      <alignment horizontal="right" textRotation="90"/>
    </xf>
    <xf numFmtId="0" fontId="7" fillId="8" borderId="2" xfId="0" applyFont="1" applyFill="1" applyBorder="1" applyAlignment="1">
      <alignment horizontal="right" textRotation="90"/>
    </xf>
    <xf numFmtId="0" fontId="0" fillId="0" borderId="2" xfId="0" applyBorder="1"/>
    <xf numFmtId="0" fontId="8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3" borderId="18" xfId="0" applyFont="1" applyFill="1" applyBorder="1" applyAlignment="1">
      <alignment horizontal="right" textRotation="90"/>
    </xf>
    <xf numFmtId="0" fontId="7" fillId="2" borderId="19" xfId="0" applyFont="1" applyFill="1" applyBorder="1" applyAlignment="1">
      <alignment horizontal="right" textRotation="90" wrapText="1"/>
    </xf>
    <xf numFmtId="0" fontId="0" fillId="0" borderId="20" xfId="0" applyBorder="1"/>
    <xf numFmtId="0" fontId="13" fillId="0" borderId="21" xfId="0" applyFont="1" applyBorder="1" applyAlignment="1">
      <alignment vertical="center" wrapText="1"/>
    </xf>
    <xf numFmtId="0" fontId="13" fillId="0" borderId="21" xfId="0" applyFont="1" applyBorder="1" applyAlignment="1">
      <alignment horizontal="center" vertical="center" wrapText="1"/>
    </xf>
    <xf numFmtId="0" fontId="14" fillId="0" borderId="22" xfId="0" applyFont="1" applyBorder="1" applyAlignment="1">
      <alignment vertical="center" wrapText="1"/>
    </xf>
    <xf numFmtId="0" fontId="14" fillId="0" borderId="23" xfId="0" applyFont="1" applyBorder="1" applyAlignment="1">
      <alignment vertical="center" wrapText="1"/>
    </xf>
    <xf numFmtId="0" fontId="14" fillId="0" borderId="24" xfId="0" applyFont="1" applyBorder="1" applyAlignment="1">
      <alignment vertical="center" wrapText="1"/>
    </xf>
    <xf numFmtId="0" fontId="14" fillId="0" borderId="22" xfId="0" quotePrefix="1" applyFont="1" applyBorder="1" applyAlignment="1">
      <alignment horizontal="right" vertical="center" wrapText="1"/>
    </xf>
    <xf numFmtId="0" fontId="14" fillId="0" borderId="25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8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5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textRotation="90"/>
    </xf>
    <xf numFmtId="0" fontId="12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left"/>
    </xf>
    <xf numFmtId="0" fontId="9" fillId="0" borderId="2" xfId="0" applyFont="1" applyBorder="1"/>
    <xf numFmtId="0" fontId="9" fillId="0" borderId="2" xfId="0" applyFont="1" applyBorder="1" applyAlignment="1">
      <alignment horizontal="center"/>
    </xf>
    <xf numFmtId="0" fontId="19" fillId="11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justify" vertical="center"/>
    </xf>
    <xf numFmtId="0" fontId="20" fillId="0" borderId="5" xfId="0" applyFont="1" applyBorder="1" applyAlignment="1">
      <alignment horizontal="center" vertical="center"/>
    </xf>
    <xf numFmtId="1" fontId="20" fillId="0" borderId="5" xfId="0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justify" vertical="center"/>
    </xf>
    <xf numFmtId="0" fontId="21" fillId="0" borderId="2" xfId="0" applyFont="1" applyBorder="1" applyAlignment="1">
      <alignment horizontal="center"/>
    </xf>
    <xf numFmtId="0" fontId="8" fillId="0" borderId="2" xfId="0" applyFont="1" applyBorder="1"/>
    <xf numFmtId="0" fontId="4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4" fillId="0" borderId="20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/>
    </xf>
    <xf numFmtId="0" fontId="5" fillId="0" borderId="1" xfId="0" applyFont="1" applyBorder="1" applyAlignment="1">
      <alignment horizontal="center"/>
    </xf>
    <xf numFmtId="0" fontId="9" fillId="0" borderId="1" xfId="0" applyFont="1" applyBorder="1"/>
    <xf numFmtId="0" fontId="8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textRotation="90"/>
    </xf>
    <xf numFmtId="0" fontId="12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22" fillId="0" borderId="2" xfId="0" applyFont="1" applyBorder="1"/>
    <xf numFmtId="0" fontId="23" fillId="0" borderId="2" xfId="0" applyFont="1" applyBorder="1" applyAlignment="1">
      <alignment horizontal="left"/>
    </xf>
    <xf numFmtId="0" fontId="0" fillId="0" borderId="3" xfId="0" applyBorder="1"/>
    <xf numFmtId="0" fontId="8" fillId="0" borderId="3" xfId="0" applyFont="1" applyBorder="1"/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left"/>
    </xf>
    <xf numFmtId="0" fontId="9" fillId="0" borderId="3" xfId="0" applyFont="1" applyBorder="1"/>
    <xf numFmtId="0" fontId="8" fillId="0" borderId="3" xfId="0" applyFont="1" applyBorder="1" applyAlignment="1">
      <alignment horizontal="center"/>
    </xf>
    <xf numFmtId="0" fontId="8" fillId="0" borderId="20" xfId="0" applyFont="1" applyBorder="1"/>
    <xf numFmtId="0" fontId="0" fillId="0" borderId="20" xfId="0" applyBorder="1" applyAlignment="1">
      <alignment vertical="center"/>
    </xf>
    <xf numFmtId="0" fontId="0" fillId="0" borderId="20" xfId="0" applyBorder="1" applyAlignment="1">
      <alignment horizontal="left"/>
    </xf>
    <xf numFmtId="0" fontId="9" fillId="0" borderId="20" xfId="0" applyFont="1" applyBorder="1"/>
    <xf numFmtId="0" fontId="8" fillId="0" borderId="20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/>
    </xf>
    <xf numFmtId="0" fontId="23" fillId="10" borderId="2" xfId="0" applyFont="1" applyFill="1" applyBorder="1" applyAlignment="1">
      <alignment horizontal="left"/>
    </xf>
    <xf numFmtId="0" fontId="24" fillId="0" borderId="2" xfId="0" applyFont="1" applyBorder="1" applyAlignment="1">
      <alignment horizontal="left"/>
    </xf>
    <xf numFmtId="0" fontId="25" fillId="0" borderId="2" xfId="0" applyFont="1" applyBorder="1" applyAlignment="1">
      <alignment horizontal="left"/>
    </xf>
    <xf numFmtId="0" fontId="21" fillId="0" borderId="2" xfId="0" applyFont="1" applyBorder="1"/>
    <xf numFmtId="0" fontId="26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0" fontId="8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2" fillId="0" borderId="0" xfId="0" applyFont="1"/>
    <xf numFmtId="0" fontId="21" fillId="0" borderId="0" xfId="0" applyFont="1"/>
    <xf numFmtId="0" fontId="0" fillId="0" borderId="2" xfId="0" applyBorder="1" applyAlignment="1">
      <alignment wrapText="1" readingOrder="1"/>
    </xf>
    <xf numFmtId="0" fontId="7" fillId="4" borderId="2" xfId="0" applyFont="1" applyFill="1" applyBorder="1" applyAlignment="1">
      <alignment vertical="center" wrapText="1"/>
    </xf>
    <xf numFmtId="0" fontId="27" fillId="0" borderId="0" xfId="0" applyFont="1" applyAlignment="1">
      <alignment horizontal="center"/>
    </xf>
    <xf numFmtId="0" fontId="14" fillId="0" borderId="27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 vertical="center" wrapText="1"/>
    </xf>
    <xf numFmtId="1" fontId="29" fillId="0" borderId="2" xfId="0" applyNumberFormat="1" applyFont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 indent="1"/>
    </xf>
    <xf numFmtId="0" fontId="13" fillId="0" borderId="2" xfId="0" applyFont="1" applyBorder="1" applyAlignment="1">
      <alignment horizontal="left" vertical="center" wrapText="1" indent="2"/>
    </xf>
    <xf numFmtId="0" fontId="14" fillId="0" borderId="2" xfId="0" applyFont="1" applyBorder="1" applyAlignment="1">
      <alignment vertical="center" wrapText="1"/>
    </xf>
    <xf numFmtId="0" fontId="14" fillId="0" borderId="2" xfId="0" applyFont="1" applyBorder="1" applyAlignment="1">
      <alignment horizontal="left" vertical="center" wrapText="1" indent="3"/>
    </xf>
    <xf numFmtId="0" fontId="14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righ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 indent="3"/>
    </xf>
    <xf numFmtId="0" fontId="14" fillId="0" borderId="0" xfId="0" applyFont="1" applyAlignment="1">
      <alignment horizontal="center" vertical="center" wrapText="1"/>
    </xf>
    <xf numFmtId="0" fontId="30" fillId="0" borderId="2" xfId="0" applyFont="1" applyBorder="1" applyAlignment="1">
      <alignment vertical="center" wrapText="1"/>
    </xf>
    <xf numFmtId="0" fontId="31" fillId="0" borderId="2" xfId="0" applyFont="1" applyBorder="1" applyAlignment="1">
      <alignment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right" vertical="center" wrapText="1"/>
    </xf>
    <xf numFmtId="0" fontId="31" fillId="0" borderId="22" xfId="0" applyFont="1" applyBorder="1" applyAlignment="1">
      <alignment vertical="center" wrapText="1"/>
    </xf>
    <xf numFmtId="0" fontId="31" fillId="0" borderId="25" xfId="0" applyFont="1" applyBorder="1" applyAlignment="1">
      <alignment vertical="center" wrapText="1"/>
    </xf>
    <xf numFmtId="0" fontId="31" fillId="0" borderId="23" xfId="0" applyFont="1" applyBorder="1" applyAlignment="1">
      <alignment vertical="center" wrapText="1"/>
    </xf>
    <xf numFmtId="0" fontId="3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 wrapText="1"/>
    </xf>
    <xf numFmtId="0" fontId="33" fillId="4" borderId="2" xfId="0" applyFont="1" applyFill="1" applyBorder="1" applyAlignment="1">
      <alignment horizontal="center" vertical="center" wrapText="1"/>
    </xf>
    <xf numFmtId="0" fontId="35" fillId="4" borderId="2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vertical="center" wrapText="1"/>
    </xf>
    <xf numFmtId="0" fontId="37" fillId="4" borderId="2" xfId="0" applyFont="1" applyFill="1" applyBorder="1" applyAlignment="1">
      <alignment horizontal="center" vertical="center" wrapText="1"/>
    </xf>
    <xf numFmtId="0" fontId="36" fillId="4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31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left" vertical="center" wrapText="1" indent="3"/>
    </xf>
    <xf numFmtId="0" fontId="14" fillId="0" borderId="12" xfId="0" applyFont="1" applyBorder="1" applyAlignment="1">
      <alignment horizontal="center" vertical="center" wrapText="1"/>
    </xf>
    <xf numFmtId="0" fontId="29" fillId="0" borderId="14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1" fontId="5" fillId="0" borderId="19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1" fontId="29" fillId="0" borderId="19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1" fontId="29" fillId="0" borderId="29" xfId="0" applyNumberFormat="1" applyFont="1" applyBorder="1" applyAlignment="1">
      <alignment horizontal="center" vertical="center" wrapText="1"/>
    </xf>
    <xf numFmtId="1" fontId="29" fillId="0" borderId="30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1" fontId="2" fillId="0" borderId="18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1" fontId="2" fillId="0" borderId="29" xfId="0" applyNumberFormat="1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0" fontId="10" fillId="0" borderId="32" xfId="0" applyFont="1" applyBorder="1" applyAlignment="1">
      <alignment horizontal="left" vertical="center" wrapText="1" indent="1"/>
    </xf>
    <xf numFmtId="0" fontId="9" fillId="0" borderId="33" xfId="0" applyFont="1" applyBorder="1" applyAlignment="1">
      <alignment vertical="center" wrapText="1"/>
    </xf>
    <xf numFmtId="0" fontId="0" fillId="0" borderId="33" xfId="0" applyBorder="1" applyAlignment="1">
      <alignment vertical="top" wrapText="1"/>
    </xf>
    <xf numFmtId="0" fontId="10" fillId="0" borderId="32" xfId="0" applyFont="1" applyBorder="1" applyAlignment="1">
      <alignment vertical="top" wrapText="1"/>
    </xf>
    <xf numFmtId="0" fontId="17" fillId="0" borderId="13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9" fillId="0" borderId="34" xfId="0" applyFont="1" applyBorder="1" applyAlignment="1">
      <alignment vertical="center" wrapText="1"/>
    </xf>
    <xf numFmtId="0" fontId="0" fillId="0" borderId="34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36" xfId="0" applyBorder="1"/>
    <xf numFmtId="0" fontId="0" fillId="0" borderId="37" xfId="0" applyBorder="1"/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0" fillId="0" borderId="11" xfId="0" applyBorder="1" applyAlignment="1">
      <alignment horizontal="right"/>
    </xf>
    <xf numFmtId="0" fontId="10" fillId="0" borderId="38" xfId="0" applyFont="1" applyBorder="1" applyAlignment="1">
      <alignment vertical="center" wrapText="1"/>
    </xf>
    <xf numFmtId="0" fontId="9" fillId="0" borderId="39" xfId="0" applyFont="1" applyBorder="1" applyAlignment="1">
      <alignment vertical="center" wrapText="1"/>
    </xf>
    <xf numFmtId="0" fontId="0" fillId="0" borderId="41" xfId="0" applyBorder="1"/>
    <xf numFmtId="0" fontId="10" fillId="0" borderId="42" xfId="0" applyFont="1" applyBorder="1" applyAlignment="1">
      <alignment vertical="center" wrapText="1"/>
    </xf>
    <xf numFmtId="0" fontId="9" fillId="0" borderId="43" xfId="0" applyFont="1" applyBorder="1" applyAlignment="1">
      <alignment vertical="center" wrapText="1"/>
    </xf>
    <xf numFmtId="0" fontId="10" fillId="0" borderId="42" xfId="0" applyFont="1" applyBorder="1" applyAlignment="1">
      <alignment vertical="top" wrapText="1"/>
    </xf>
    <xf numFmtId="0" fontId="10" fillId="0" borderId="38" xfId="0" applyFont="1" applyBorder="1" applyAlignment="1">
      <alignment horizontal="left" vertical="center" wrapText="1" indent="1"/>
    </xf>
    <xf numFmtId="0" fontId="10" fillId="0" borderId="42" xfId="0" applyFont="1" applyBorder="1" applyAlignment="1">
      <alignment horizontal="left" vertical="center" wrapText="1" indent="1"/>
    </xf>
    <xf numFmtId="0" fontId="0" fillId="0" borderId="43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17" fillId="0" borderId="7" xfId="0" applyFont="1" applyBorder="1" applyAlignment="1">
      <alignment horizontal="center" vertical="center" wrapText="1"/>
    </xf>
    <xf numFmtId="0" fontId="9" fillId="0" borderId="45" xfId="0" applyFont="1" applyBorder="1" applyAlignment="1">
      <alignment vertical="center" wrapText="1"/>
    </xf>
    <xf numFmtId="14" fontId="0" fillId="0" borderId="41" xfId="0" applyNumberFormat="1" applyBorder="1"/>
    <xf numFmtId="0" fontId="0" fillId="0" borderId="46" xfId="0" applyBorder="1" applyAlignment="1">
      <alignment vertical="top" wrapText="1"/>
    </xf>
    <xf numFmtId="0" fontId="0" fillId="0" borderId="5" xfId="0" applyBorder="1"/>
    <xf numFmtId="0" fontId="0" fillId="0" borderId="0" xfId="0" applyAlignment="1">
      <alignment horizontal="center"/>
    </xf>
    <xf numFmtId="0" fontId="8" fillId="0" borderId="11" xfId="0" applyFont="1" applyBorder="1" applyAlignment="1">
      <alignment horizontal="right"/>
    </xf>
    <xf numFmtId="0" fontId="8" fillId="0" borderId="8" xfId="0" applyFont="1" applyBorder="1"/>
    <xf numFmtId="0" fontId="7" fillId="4" borderId="15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textRotation="90"/>
    </xf>
    <xf numFmtId="0" fontId="7" fillId="4" borderId="3" xfId="0" applyFont="1" applyFill="1" applyBorder="1" applyAlignment="1">
      <alignment horizontal="center" vertical="center" textRotation="90"/>
    </xf>
    <xf numFmtId="0" fontId="7" fillId="4" borderId="4" xfId="0" applyFont="1" applyFill="1" applyBorder="1" applyAlignment="1">
      <alignment horizontal="center" vertical="center" textRotation="90"/>
    </xf>
    <xf numFmtId="0" fontId="34" fillId="4" borderId="14" xfId="0" applyFont="1" applyFill="1" applyBorder="1" applyAlignment="1">
      <alignment horizontal="center" vertical="center" textRotation="90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10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40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9" fillId="0" borderId="44" xfId="0" applyFont="1" applyBorder="1" applyAlignment="1">
      <alignment vertical="center" wrapText="1"/>
    </xf>
    <xf numFmtId="0" fontId="10" fillId="0" borderId="38" xfId="0" applyFont="1" applyBorder="1" applyAlignment="1">
      <alignment vertical="center" wrapText="1"/>
    </xf>
    <xf numFmtId="0" fontId="10" fillId="0" borderId="32" xfId="0" applyFont="1" applyBorder="1" applyAlignment="1">
      <alignment vertical="center" wrapText="1"/>
    </xf>
    <xf numFmtId="0" fontId="10" fillId="0" borderId="42" xfId="0" applyFont="1" applyBorder="1" applyAlignment="1">
      <alignment vertical="center" wrapText="1"/>
    </xf>
    <xf numFmtId="0" fontId="19" fillId="11" borderId="7" xfId="0" applyFont="1" applyFill="1" applyBorder="1" applyAlignment="1">
      <alignment horizontal="center" vertical="center"/>
    </xf>
    <xf numFmtId="0" fontId="19" fillId="11" borderId="8" xfId="0" applyFont="1" applyFill="1" applyBorder="1" applyAlignment="1">
      <alignment horizontal="center" vertical="center"/>
    </xf>
    <xf numFmtId="0" fontId="19" fillId="11" borderId="26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D1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5"/>
  <sheetViews>
    <sheetView topLeftCell="G1" workbookViewId="0">
      <selection activeCell="N17" sqref="N17"/>
    </sheetView>
  </sheetViews>
  <sheetFormatPr defaultColWidth="10.76171875" defaultRowHeight="15" x14ac:dyDescent="0.2"/>
  <cols>
    <col min="1" max="1" width="6.9921875" bestFit="1" customWidth="1"/>
    <col min="2" max="3" width="0" hidden="1" customWidth="1"/>
    <col min="4" max="4" width="9.4140625" hidden="1" customWidth="1"/>
    <col min="5" max="5" width="6.1875" hidden="1" customWidth="1"/>
    <col min="6" max="6" width="21.38671875" customWidth="1"/>
    <col min="7" max="7" width="29.19140625" customWidth="1"/>
    <col min="8" max="8" width="8.33984375" hidden="1" customWidth="1"/>
    <col min="9" max="9" width="20.4453125" hidden="1" customWidth="1"/>
    <col min="10" max="10" width="11.1640625" hidden="1" customWidth="1"/>
    <col min="11" max="11" width="13.44921875" hidden="1" customWidth="1"/>
    <col min="12" max="12" width="10.89453125" style="104" bestFit="1" customWidth="1"/>
    <col min="17" max="18" width="3.09375" bestFit="1" customWidth="1"/>
    <col min="19" max="19" width="5.37890625" bestFit="1" customWidth="1"/>
    <col min="20" max="25" width="4.03515625" bestFit="1" customWidth="1"/>
    <col min="26" max="26" width="7.6640625" bestFit="1" customWidth="1"/>
    <col min="27" max="27" width="4.03515625" bestFit="1" customWidth="1"/>
    <col min="28" max="32" width="3.09375" bestFit="1" customWidth="1"/>
    <col min="33" max="33" width="7.6640625" bestFit="1" customWidth="1"/>
    <col min="34" max="34" width="4.70703125" bestFit="1" customWidth="1"/>
    <col min="35" max="39" width="4.03515625" bestFit="1" customWidth="1"/>
    <col min="40" max="40" width="7.6640625" bestFit="1" customWidth="1"/>
  </cols>
  <sheetData>
    <row r="1" spans="1:40" ht="26.25" thickBot="1" x14ac:dyDescent="0.4">
      <c r="L1" s="144" t="s">
        <v>449</v>
      </c>
    </row>
    <row r="2" spans="1:40" ht="66.75" customHeight="1" thickBot="1" x14ac:dyDescent="0.25">
      <c r="L2" s="206" t="s">
        <v>12</v>
      </c>
      <c r="M2" s="207" t="s">
        <v>9</v>
      </c>
      <c r="N2" s="207" t="s">
        <v>13</v>
      </c>
      <c r="O2" s="207" t="s">
        <v>11</v>
      </c>
      <c r="P2" s="207" t="s">
        <v>14</v>
      </c>
      <c r="Q2" s="208" t="s">
        <v>15</v>
      </c>
      <c r="R2" s="209" t="s">
        <v>96</v>
      </c>
      <c r="S2" s="211" t="s">
        <v>10</v>
      </c>
      <c r="T2" s="203" t="s">
        <v>97</v>
      </c>
      <c r="U2" s="204"/>
      <c r="V2" s="204"/>
      <c r="W2" s="204"/>
      <c r="X2" s="204"/>
      <c r="Y2" s="204"/>
      <c r="Z2" s="205"/>
      <c r="AA2" s="212" t="s">
        <v>443</v>
      </c>
      <c r="AB2" s="213"/>
      <c r="AC2" s="213"/>
      <c r="AD2" s="213"/>
      <c r="AE2" s="213"/>
      <c r="AF2" s="213"/>
      <c r="AG2" s="214"/>
      <c r="AH2" s="203" t="s">
        <v>16</v>
      </c>
      <c r="AI2" s="204"/>
      <c r="AJ2" s="204"/>
      <c r="AK2" s="204"/>
      <c r="AL2" s="204"/>
      <c r="AM2" s="204"/>
      <c r="AN2" s="205"/>
    </row>
    <row r="3" spans="1:40" ht="66" customHeight="1" thickBot="1" x14ac:dyDescent="0.25">
      <c r="A3" s="115" t="s">
        <v>99</v>
      </c>
      <c r="B3" s="115" t="s">
        <v>100</v>
      </c>
      <c r="C3" s="116" t="s">
        <v>101</v>
      </c>
      <c r="D3" s="117" t="s">
        <v>102</v>
      </c>
      <c r="E3" s="117"/>
      <c r="F3" s="118" t="s">
        <v>103</v>
      </c>
      <c r="G3" s="116" t="s">
        <v>98</v>
      </c>
      <c r="H3" s="19" t="s">
        <v>104</v>
      </c>
      <c r="I3" s="18" t="s">
        <v>105</v>
      </c>
      <c r="J3" s="18" t="s">
        <v>106</v>
      </c>
      <c r="K3" s="18" t="s">
        <v>107</v>
      </c>
      <c r="L3" s="206"/>
      <c r="M3" s="207"/>
      <c r="N3" s="207"/>
      <c r="O3" s="207"/>
      <c r="P3" s="207"/>
      <c r="Q3" s="208"/>
      <c r="R3" s="210"/>
      <c r="S3" s="211"/>
      <c r="T3" s="15" t="s">
        <v>2</v>
      </c>
      <c r="U3" s="2" t="s">
        <v>3</v>
      </c>
      <c r="V3" s="3" t="s">
        <v>4</v>
      </c>
      <c r="W3" s="4" t="s">
        <v>5</v>
      </c>
      <c r="X3" s="5" t="s">
        <v>6</v>
      </c>
      <c r="Y3" s="6" t="s">
        <v>7</v>
      </c>
      <c r="Z3" s="16" t="s">
        <v>8</v>
      </c>
      <c r="AA3" s="15" t="s">
        <v>2</v>
      </c>
      <c r="AB3" s="2" t="s">
        <v>3</v>
      </c>
      <c r="AC3" s="3" t="s">
        <v>4</v>
      </c>
      <c r="AD3" s="4" t="s">
        <v>5</v>
      </c>
      <c r="AE3" s="5" t="s">
        <v>6</v>
      </c>
      <c r="AF3" s="6" t="s">
        <v>7</v>
      </c>
      <c r="AG3" s="16" t="s">
        <v>8</v>
      </c>
      <c r="AH3" s="15" t="s">
        <v>2</v>
      </c>
      <c r="AI3" s="2" t="s">
        <v>3</v>
      </c>
      <c r="AJ3" s="3" t="s">
        <v>4</v>
      </c>
      <c r="AK3" s="4" t="s">
        <v>5</v>
      </c>
      <c r="AL3" s="5" t="s">
        <v>6</v>
      </c>
      <c r="AM3" s="6" t="s">
        <v>7</v>
      </c>
      <c r="AN3" s="16" t="s">
        <v>8</v>
      </c>
    </row>
    <row r="4" spans="1:40" ht="15.75" hidden="1" thickBot="1" x14ac:dyDescent="0.25">
      <c r="A4" s="119">
        <v>1</v>
      </c>
      <c r="B4" s="120">
        <v>1</v>
      </c>
      <c r="C4" s="121" t="s">
        <v>108</v>
      </c>
      <c r="D4" s="119" t="s">
        <v>109</v>
      </c>
      <c r="E4" s="119" t="s">
        <v>110</v>
      </c>
      <c r="F4" s="119" t="s">
        <v>111</v>
      </c>
      <c r="G4" s="119" t="s">
        <v>112</v>
      </c>
      <c r="H4" s="20">
        <v>1932671</v>
      </c>
      <c r="I4" s="20" t="s">
        <v>113</v>
      </c>
      <c r="J4" s="20" t="s">
        <v>114</v>
      </c>
      <c r="K4" s="21" t="s">
        <v>115</v>
      </c>
      <c r="L4" s="107">
        <v>6</v>
      </c>
      <c r="M4" s="108">
        <f>L4*4</f>
        <v>24</v>
      </c>
      <c r="N4" s="108">
        <f>L4*40</f>
        <v>240</v>
      </c>
      <c r="O4" s="108">
        <f>L4*48</f>
        <v>288</v>
      </c>
      <c r="P4" s="108">
        <f>O4-N4</f>
        <v>48</v>
      </c>
      <c r="Q4" s="108">
        <f>M4/2</f>
        <v>12</v>
      </c>
      <c r="R4" s="108">
        <f>Q4</f>
        <v>12</v>
      </c>
      <c r="S4" s="114">
        <f>P4-(Q4+R4)</f>
        <v>24</v>
      </c>
      <c r="T4" s="108">
        <f>N4</f>
        <v>240</v>
      </c>
      <c r="U4" s="113">
        <f>$S4/6</f>
        <v>4</v>
      </c>
      <c r="V4" s="113">
        <f t="shared" ref="V4:Z19" si="0">$S4/6</f>
        <v>4</v>
      </c>
      <c r="W4" s="113">
        <f t="shared" si="0"/>
        <v>4</v>
      </c>
      <c r="X4" s="113">
        <f t="shared" si="0"/>
        <v>4</v>
      </c>
      <c r="Y4" s="109">
        <f t="shared" si="0"/>
        <v>4</v>
      </c>
      <c r="Z4" s="109">
        <f t="shared" si="0"/>
        <v>4</v>
      </c>
      <c r="AA4" s="1"/>
      <c r="AB4" s="1"/>
      <c r="AC4" s="1"/>
      <c r="AD4" s="1"/>
      <c r="AE4" s="1"/>
      <c r="AF4" s="1"/>
      <c r="AG4" s="1"/>
      <c r="AH4" s="110">
        <f>AA4-T4</f>
        <v>-240</v>
      </c>
      <c r="AI4" s="110">
        <f t="shared" ref="AI4:AN4" si="1">AB4-U4</f>
        <v>-4</v>
      </c>
      <c r="AJ4" s="110">
        <f t="shared" si="1"/>
        <v>-4</v>
      </c>
      <c r="AK4" s="110">
        <f t="shared" si="1"/>
        <v>-4</v>
      </c>
      <c r="AL4" s="110">
        <f t="shared" si="1"/>
        <v>-4</v>
      </c>
      <c r="AM4" s="110">
        <f t="shared" si="1"/>
        <v>-4</v>
      </c>
      <c r="AN4" s="110">
        <f t="shared" si="1"/>
        <v>-4</v>
      </c>
    </row>
    <row r="5" spans="1:40" ht="15.75" hidden="1" thickBot="1" x14ac:dyDescent="0.25">
      <c r="A5" s="119">
        <v>2</v>
      </c>
      <c r="B5" s="120">
        <v>1</v>
      </c>
      <c r="C5" s="121" t="s">
        <v>116</v>
      </c>
      <c r="D5" s="119" t="s">
        <v>109</v>
      </c>
      <c r="E5" s="119" t="s">
        <v>110</v>
      </c>
      <c r="F5" s="119" t="s">
        <v>111</v>
      </c>
      <c r="G5" s="119" t="s">
        <v>117</v>
      </c>
      <c r="H5" s="20">
        <v>4198251</v>
      </c>
      <c r="I5" s="20" t="s">
        <v>113</v>
      </c>
      <c r="J5" s="20" t="s">
        <v>118</v>
      </c>
      <c r="K5" s="21" t="s">
        <v>115</v>
      </c>
      <c r="L5" s="107">
        <v>6</v>
      </c>
      <c r="M5" s="108">
        <f t="shared" ref="M5:M68" si="2">L5*4</f>
        <v>24</v>
      </c>
      <c r="N5" s="108">
        <f t="shared" ref="N5:N68" si="3">L5*40</f>
        <v>240</v>
      </c>
      <c r="O5" s="108">
        <f t="shared" ref="O5:O68" si="4">L5*48</f>
        <v>288</v>
      </c>
      <c r="P5" s="108">
        <f t="shared" ref="P5:P68" si="5">O5-N5</f>
        <v>48</v>
      </c>
      <c r="Q5" s="108">
        <f t="shared" ref="Q5:Q68" si="6">M5/2</f>
        <v>12</v>
      </c>
      <c r="R5" s="108">
        <f t="shared" ref="R5:R68" si="7">Q5</f>
        <v>12</v>
      </c>
      <c r="S5" s="114">
        <f t="shared" ref="S5:S68" si="8">P5-(Q5+R5)</f>
        <v>24</v>
      </c>
      <c r="T5" s="108">
        <f t="shared" ref="T5:T68" si="9">N5</f>
        <v>240</v>
      </c>
      <c r="U5" s="113">
        <f t="shared" ref="U5:Z36" si="10">$S5/6</f>
        <v>4</v>
      </c>
      <c r="V5" s="113">
        <f t="shared" si="0"/>
        <v>4</v>
      </c>
      <c r="W5" s="113">
        <f t="shared" si="0"/>
        <v>4</v>
      </c>
      <c r="X5" s="113">
        <f t="shared" si="0"/>
        <v>4</v>
      </c>
      <c r="Y5" s="109">
        <f t="shared" si="0"/>
        <v>4</v>
      </c>
      <c r="Z5" s="109">
        <f t="shared" si="0"/>
        <v>4</v>
      </c>
      <c r="AA5" s="1"/>
      <c r="AB5" s="1"/>
      <c r="AC5" s="1"/>
      <c r="AD5" s="1"/>
      <c r="AE5" s="1"/>
      <c r="AF5" s="1"/>
      <c r="AG5" s="1"/>
      <c r="AH5" s="110">
        <f t="shared" ref="AH5:AH68" si="11">AA5-T5</f>
        <v>-240</v>
      </c>
      <c r="AI5" s="110">
        <f t="shared" ref="AI5:AI68" si="12">AB5-U5</f>
        <v>-4</v>
      </c>
      <c r="AJ5" s="110">
        <f t="shared" ref="AJ5:AJ68" si="13">AC5-V5</f>
        <v>-4</v>
      </c>
      <c r="AK5" s="110">
        <f t="shared" ref="AK5:AK68" si="14">AD5-W5</f>
        <v>-4</v>
      </c>
      <c r="AL5" s="110">
        <f t="shared" ref="AL5:AL68" si="15">AE5-X5</f>
        <v>-4</v>
      </c>
      <c r="AM5" s="110">
        <f t="shared" ref="AM5:AM68" si="16">AF5-Y5</f>
        <v>-4</v>
      </c>
      <c r="AN5" s="110">
        <f t="shared" ref="AN5:AN68" si="17">AG5-Z5</f>
        <v>-4</v>
      </c>
    </row>
    <row r="6" spans="1:40" ht="15.75" hidden="1" thickBot="1" x14ac:dyDescent="0.25">
      <c r="A6" s="119">
        <v>3</v>
      </c>
      <c r="B6" s="120">
        <v>1</v>
      </c>
      <c r="C6" s="121" t="s">
        <v>108</v>
      </c>
      <c r="D6" s="119" t="s">
        <v>109</v>
      </c>
      <c r="E6" s="119" t="s">
        <v>119</v>
      </c>
      <c r="F6" s="119" t="s">
        <v>120</v>
      </c>
      <c r="G6" s="119" t="s">
        <v>121</v>
      </c>
      <c r="H6" s="20">
        <v>1713033</v>
      </c>
      <c r="I6" s="20" t="s">
        <v>113</v>
      </c>
      <c r="J6" s="20" t="s">
        <v>114</v>
      </c>
      <c r="K6" s="21" t="s">
        <v>122</v>
      </c>
      <c r="L6" s="111">
        <v>6</v>
      </c>
      <c r="M6" s="108">
        <f t="shared" si="2"/>
        <v>24</v>
      </c>
      <c r="N6" s="108">
        <f t="shared" si="3"/>
        <v>240</v>
      </c>
      <c r="O6" s="108">
        <f t="shared" si="4"/>
        <v>288</v>
      </c>
      <c r="P6" s="108">
        <f t="shared" si="5"/>
        <v>48</v>
      </c>
      <c r="Q6" s="108">
        <f t="shared" si="6"/>
        <v>12</v>
      </c>
      <c r="R6" s="108">
        <f t="shared" si="7"/>
        <v>12</v>
      </c>
      <c r="S6" s="114">
        <f t="shared" si="8"/>
        <v>24</v>
      </c>
      <c r="T6" s="108">
        <f t="shared" si="9"/>
        <v>240</v>
      </c>
      <c r="U6" s="113">
        <f t="shared" si="10"/>
        <v>4</v>
      </c>
      <c r="V6" s="113">
        <f t="shared" si="0"/>
        <v>4</v>
      </c>
      <c r="W6" s="113">
        <f t="shared" si="0"/>
        <v>4</v>
      </c>
      <c r="X6" s="113">
        <f t="shared" si="0"/>
        <v>4</v>
      </c>
      <c r="Y6" s="109">
        <f t="shared" si="0"/>
        <v>4</v>
      </c>
      <c r="Z6" s="109">
        <f t="shared" si="0"/>
        <v>4</v>
      </c>
      <c r="AA6" s="1"/>
      <c r="AB6" s="1"/>
      <c r="AC6" s="1"/>
      <c r="AD6" s="1"/>
      <c r="AE6" s="1"/>
      <c r="AF6" s="1"/>
      <c r="AG6" s="1"/>
      <c r="AH6" s="110">
        <f t="shared" si="11"/>
        <v>-240</v>
      </c>
      <c r="AI6" s="110">
        <f t="shared" si="12"/>
        <v>-4</v>
      </c>
      <c r="AJ6" s="110">
        <f t="shared" si="13"/>
        <v>-4</v>
      </c>
      <c r="AK6" s="110">
        <f t="shared" si="14"/>
        <v>-4</v>
      </c>
      <c r="AL6" s="110">
        <f t="shared" si="15"/>
        <v>-4</v>
      </c>
      <c r="AM6" s="110">
        <f t="shared" si="16"/>
        <v>-4</v>
      </c>
      <c r="AN6" s="110">
        <f t="shared" si="17"/>
        <v>-4</v>
      </c>
    </row>
    <row r="7" spans="1:40" ht="15.75" hidden="1" thickBot="1" x14ac:dyDescent="0.25">
      <c r="A7" s="119">
        <v>4</v>
      </c>
      <c r="B7" s="120">
        <v>1</v>
      </c>
      <c r="C7" s="121" t="s">
        <v>116</v>
      </c>
      <c r="D7" s="119" t="s">
        <v>109</v>
      </c>
      <c r="E7" s="119" t="s">
        <v>119</v>
      </c>
      <c r="F7" s="119" t="s">
        <v>120</v>
      </c>
      <c r="G7" s="119" t="s">
        <v>123</v>
      </c>
      <c r="H7" s="20">
        <v>5608180</v>
      </c>
      <c r="I7" s="22" t="s">
        <v>124</v>
      </c>
      <c r="J7" s="20" t="s">
        <v>118</v>
      </c>
      <c r="K7" s="21" t="s">
        <v>122</v>
      </c>
      <c r="L7" s="112">
        <v>6</v>
      </c>
      <c r="M7" s="108">
        <f t="shared" si="2"/>
        <v>24</v>
      </c>
      <c r="N7" s="108">
        <f t="shared" si="3"/>
        <v>240</v>
      </c>
      <c r="O7" s="108">
        <f t="shared" si="4"/>
        <v>288</v>
      </c>
      <c r="P7" s="108">
        <f t="shared" si="5"/>
        <v>48</v>
      </c>
      <c r="Q7" s="108">
        <f t="shared" si="6"/>
        <v>12</v>
      </c>
      <c r="R7" s="108">
        <f t="shared" si="7"/>
        <v>12</v>
      </c>
      <c r="S7" s="114">
        <f t="shared" si="8"/>
        <v>24</v>
      </c>
      <c r="T7" s="108">
        <f t="shared" si="9"/>
        <v>240</v>
      </c>
      <c r="U7" s="113">
        <f t="shared" si="10"/>
        <v>4</v>
      </c>
      <c r="V7" s="113">
        <f t="shared" si="0"/>
        <v>4</v>
      </c>
      <c r="W7" s="113">
        <f t="shared" si="0"/>
        <v>4</v>
      </c>
      <c r="X7" s="113">
        <f t="shared" si="0"/>
        <v>4</v>
      </c>
      <c r="Y7" s="109">
        <f t="shared" si="0"/>
        <v>4</v>
      </c>
      <c r="Z7" s="109">
        <f t="shared" si="0"/>
        <v>4</v>
      </c>
      <c r="AA7" s="1"/>
      <c r="AB7" s="1"/>
      <c r="AC7" s="1"/>
      <c r="AD7" s="1"/>
      <c r="AE7" s="1"/>
      <c r="AF7" s="1"/>
      <c r="AG7" s="1"/>
      <c r="AH7" s="110">
        <f t="shared" si="11"/>
        <v>-240</v>
      </c>
      <c r="AI7" s="110">
        <f t="shared" si="12"/>
        <v>-4</v>
      </c>
      <c r="AJ7" s="110">
        <f t="shared" si="13"/>
        <v>-4</v>
      </c>
      <c r="AK7" s="110">
        <f t="shared" si="14"/>
        <v>-4</v>
      </c>
      <c r="AL7" s="110">
        <f t="shared" si="15"/>
        <v>-4</v>
      </c>
      <c r="AM7" s="110">
        <f t="shared" si="16"/>
        <v>-4</v>
      </c>
      <c r="AN7" s="110">
        <f t="shared" si="17"/>
        <v>-4</v>
      </c>
    </row>
    <row r="8" spans="1:40" ht="15.75" hidden="1" thickBot="1" x14ac:dyDescent="0.25">
      <c r="A8" s="119">
        <v>5</v>
      </c>
      <c r="B8" s="120">
        <v>1</v>
      </c>
      <c r="C8" s="121" t="s">
        <v>108</v>
      </c>
      <c r="D8" s="119" t="s">
        <v>109</v>
      </c>
      <c r="E8" s="119" t="s">
        <v>125</v>
      </c>
      <c r="F8" s="119" t="s">
        <v>126</v>
      </c>
      <c r="G8" s="119" t="s">
        <v>127</v>
      </c>
      <c r="H8" s="20">
        <v>4176636</v>
      </c>
      <c r="I8" s="20" t="s">
        <v>113</v>
      </c>
      <c r="J8" s="20" t="s">
        <v>118</v>
      </c>
      <c r="K8" s="21" t="s">
        <v>122</v>
      </c>
      <c r="L8" s="112">
        <v>6</v>
      </c>
      <c r="M8" s="108">
        <f t="shared" si="2"/>
        <v>24</v>
      </c>
      <c r="N8" s="108">
        <f t="shared" si="3"/>
        <v>240</v>
      </c>
      <c r="O8" s="108">
        <f t="shared" si="4"/>
        <v>288</v>
      </c>
      <c r="P8" s="108">
        <f t="shared" si="5"/>
        <v>48</v>
      </c>
      <c r="Q8" s="108">
        <f t="shared" si="6"/>
        <v>12</v>
      </c>
      <c r="R8" s="108">
        <f t="shared" si="7"/>
        <v>12</v>
      </c>
      <c r="S8" s="114">
        <f t="shared" si="8"/>
        <v>24</v>
      </c>
      <c r="T8" s="108">
        <f t="shared" si="9"/>
        <v>240</v>
      </c>
      <c r="U8" s="113">
        <f t="shared" si="10"/>
        <v>4</v>
      </c>
      <c r="V8" s="113">
        <f t="shared" si="0"/>
        <v>4</v>
      </c>
      <c r="W8" s="113">
        <f t="shared" si="0"/>
        <v>4</v>
      </c>
      <c r="X8" s="113">
        <f t="shared" si="0"/>
        <v>4</v>
      </c>
      <c r="Y8" s="109">
        <f t="shared" si="0"/>
        <v>4</v>
      </c>
      <c r="Z8" s="109">
        <f t="shared" si="0"/>
        <v>4</v>
      </c>
      <c r="AA8" s="1"/>
      <c r="AB8" s="1"/>
      <c r="AC8" s="1"/>
      <c r="AD8" s="1"/>
      <c r="AE8" s="1"/>
      <c r="AF8" s="1"/>
      <c r="AG8" s="1"/>
      <c r="AH8" s="110">
        <f t="shared" si="11"/>
        <v>-240</v>
      </c>
      <c r="AI8" s="110">
        <f t="shared" si="12"/>
        <v>-4</v>
      </c>
      <c r="AJ8" s="110">
        <f t="shared" si="13"/>
        <v>-4</v>
      </c>
      <c r="AK8" s="110">
        <f t="shared" si="14"/>
        <v>-4</v>
      </c>
      <c r="AL8" s="110">
        <f t="shared" si="15"/>
        <v>-4</v>
      </c>
      <c r="AM8" s="110">
        <f t="shared" si="16"/>
        <v>-4</v>
      </c>
      <c r="AN8" s="110">
        <f t="shared" si="17"/>
        <v>-4</v>
      </c>
    </row>
    <row r="9" spans="1:40" ht="2.25" hidden="1" customHeight="1" thickBot="1" x14ac:dyDescent="0.25">
      <c r="A9" s="119">
        <v>6</v>
      </c>
      <c r="B9" s="120">
        <v>1</v>
      </c>
      <c r="C9" s="121" t="s">
        <v>116</v>
      </c>
      <c r="D9" s="119" t="s">
        <v>109</v>
      </c>
      <c r="E9" s="119" t="s">
        <v>125</v>
      </c>
      <c r="F9" s="119" t="s">
        <v>126</v>
      </c>
      <c r="G9" s="119" t="s">
        <v>127</v>
      </c>
      <c r="H9" s="20">
        <v>4176636</v>
      </c>
      <c r="I9" s="20" t="s">
        <v>113</v>
      </c>
      <c r="J9" s="20" t="s">
        <v>118</v>
      </c>
      <c r="K9" s="21" t="s">
        <v>122</v>
      </c>
      <c r="L9" s="112">
        <v>6</v>
      </c>
      <c r="M9" s="108">
        <f t="shared" si="2"/>
        <v>24</v>
      </c>
      <c r="N9" s="108">
        <f t="shared" si="3"/>
        <v>240</v>
      </c>
      <c r="O9" s="108">
        <f t="shared" si="4"/>
        <v>288</v>
      </c>
      <c r="P9" s="108">
        <f t="shared" si="5"/>
        <v>48</v>
      </c>
      <c r="Q9" s="108">
        <f t="shared" si="6"/>
        <v>12</v>
      </c>
      <c r="R9" s="108">
        <f t="shared" si="7"/>
        <v>12</v>
      </c>
      <c r="S9" s="114">
        <f t="shared" si="8"/>
        <v>24</v>
      </c>
      <c r="T9" s="108">
        <f t="shared" si="9"/>
        <v>240</v>
      </c>
      <c r="U9" s="113">
        <f t="shared" si="10"/>
        <v>4</v>
      </c>
      <c r="V9" s="113">
        <f t="shared" si="0"/>
        <v>4</v>
      </c>
      <c r="W9" s="113">
        <f t="shared" si="0"/>
        <v>4</v>
      </c>
      <c r="X9" s="113">
        <f t="shared" si="0"/>
        <v>4</v>
      </c>
      <c r="Y9" s="109">
        <f t="shared" si="0"/>
        <v>4</v>
      </c>
      <c r="Z9" s="109">
        <f t="shared" si="0"/>
        <v>4</v>
      </c>
      <c r="AA9" s="1"/>
      <c r="AB9" s="1"/>
      <c r="AC9" s="1"/>
      <c r="AD9" s="1"/>
      <c r="AE9" s="1"/>
      <c r="AF9" s="1"/>
      <c r="AG9" s="1"/>
      <c r="AH9" s="110">
        <f t="shared" si="11"/>
        <v>-240</v>
      </c>
      <c r="AI9" s="110">
        <f t="shared" si="12"/>
        <v>-4</v>
      </c>
      <c r="AJ9" s="110">
        <f t="shared" si="13"/>
        <v>-4</v>
      </c>
      <c r="AK9" s="110">
        <f t="shared" si="14"/>
        <v>-4</v>
      </c>
      <c r="AL9" s="110">
        <f t="shared" si="15"/>
        <v>-4</v>
      </c>
      <c r="AM9" s="110">
        <f t="shared" si="16"/>
        <v>-4</v>
      </c>
      <c r="AN9" s="110">
        <f t="shared" si="17"/>
        <v>-4</v>
      </c>
    </row>
    <row r="10" spans="1:40" ht="15.75" hidden="1" thickBot="1" x14ac:dyDescent="0.25">
      <c r="A10" s="119">
        <v>7</v>
      </c>
      <c r="B10" s="120">
        <v>1</v>
      </c>
      <c r="C10" s="121" t="s">
        <v>108</v>
      </c>
      <c r="D10" s="119" t="s">
        <v>109</v>
      </c>
      <c r="E10" s="119" t="s">
        <v>128</v>
      </c>
      <c r="F10" s="119" t="s">
        <v>129</v>
      </c>
      <c r="G10" s="119" t="s">
        <v>130</v>
      </c>
      <c r="H10" s="20">
        <v>5645290</v>
      </c>
      <c r="I10" s="20" t="s">
        <v>113</v>
      </c>
      <c r="J10" s="20" t="s">
        <v>118</v>
      </c>
      <c r="K10" s="21" t="s">
        <v>122</v>
      </c>
      <c r="L10" s="112">
        <v>8</v>
      </c>
      <c r="M10" s="108">
        <f t="shared" si="2"/>
        <v>32</v>
      </c>
      <c r="N10" s="108">
        <f t="shared" si="3"/>
        <v>320</v>
      </c>
      <c r="O10" s="108">
        <f t="shared" si="4"/>
        <v>384</v>
      </c>
      <c r="P10" s="108">
        <f t="shared" si="5"/>
        <v>64</v>
      </c>
      <c r="Q10" s="108">
        <f t="shared" si="6"/>
        <v>16</v>
      </c>
      <c r="R10" s="108">
        <f t="shared" si="7"/>
        <v>16</v>
      </c>
      <c r="S10" s="114">
        <f t="shared" si="8"/>
        <v>32</v>
      </c>
      <c r="T10" s="108">
        <f t="shared" si="9"/>
        <v>320</v>
      </c>
      <c r="U10" s="113">
        <f t="shared" si="10"/>
        <v>5.333333333333333</v>
      </c>
      <c r="V10" s="113">
        <f t="shared" si="0"/>
        <v>5.333333333333333</v>
      </c>
      <c r="W10" s="113">
        <f t="shared" si="0"/>
        <v>5.333333333333333</v>
      </c>
      <c r="X10" s="113">
        <f t="shared" si="0"/>
        <v>5.333333333333333</v>
      </c>
      <c r="Y10" s="109">
        <f t="shared" si="0"/>
        <v>5.333333333333333</v>
      </c>
      <c r="Z10" s="109">
        <f t="shared" si="0"/>
        <v>5.333333333333333</v>
      </c>
      <c r="AA10" s="1"/>
      <c r="AB10" s="1"/>
      <c r="AC10" s="1"/>
      <c r="AD10" s="1"/>
      <c r="AE10" s="1"/>
      <c r="AF10" s="1"/>
      <c r="AG10" s="1"/>
      <c r="AH10" s="110">
        <f t="shared" si="11"/>
        <v>-320</v>
      </c>
      <c r="AI10" s="110">
        <f t="shared" si="12"/>
        <v>-5.333333333333333</v>
      </c>
      <c r="AJ10" s="110">
        <f t="shared" si="13"/>
        <v>-5.333333333333333</v>
      </c>
      <c r="AK10" s="110">
        <f t="shared" si="14"/>
        <v>-5.333333333333333</v>
      </c>
      <c r="AL10" s="110">
        <f t="shared" si="15"/>
        <v>-5.333333333333333</v>
      </c>
      <c r="AM10" s="110">
        <f t="shared" si="16"/>
        <v>-5.333333333333333</v>
      </c>
      <c r="AN10" s="110">
        <f t="shared" si="17"/>
        <v>-5.333333333333333</v>
      </c>
    </row>
    <row r="11" spans="1:40" ht="15.75" hidden="1" thickBot="1" x14ac:dyDescent="0.25">
      <c r="A11" s="119">
        <v>8</v>
      </c>
      <c r="B11" s="120">
        <v>1</v>
      </c>
      <c r="C11" s="121" t="s">
        <v>116</v>
      </c>
      <c r="D11" s="119" t="s">
        <v>109</v>
      </c>
      <c r="E11" s="119" t="s">
        <v>128</v>
      </c>
      <c r="F11" s="119" t="s">
        <v>129</v>
      </c>
      <c r="G11" s="119" t="s">
        <v>131</v>
      </c>
      <c r="H11" s="20">
        <v>1933075</v>
      </c>
      <c r="I11" s="20" t="s">
        <v>113</v>
      </c>
      <c r="J11" s="20" t="s">
        <v>118</v>
      </c>
      <c r="K11" s="21" t="s">
        <v>122</v>
      </c>
      <c r="L11" s="112">
        <v>8</v>
      </c>
      <c r="M11" s="108">
        <f t="shared" si="2"/>
        <v>32</v>
      </c>
      <c r="N11" s="108">
        <f t="shared" si="3"/>
        <v>320</v>
      </c>
      <c r="O11" s="108">
        <f t="shared" si="4"/>
        <v>384</v>
      </c>
      <c r="P11" s="108">
        <f t="shared" si="5"/>
        <v>64</v>
      </c>
      <c r="Q11" s="108">
        <f t="shared" si="6"/>
        <v>16</v>
      </c>
      <c r="R11" s="108">
        <f t="shared" si="7"/>
        <v>16</v>
      </c>
      <c r="S11" s="114">
        <f t="shared" si="8"/>
        <v>32</v>
      </c>
      <c r="T11" s="108">
        <f t="shared" si="9"/>
        <v>320</v>
      </c>
      <c r="U11" s="113">
        <f t="shared" si="10"/>
        <v>5.333333333333333</v>
      </c>
      <c r="V11" s="113">
        <f t="shared" si="0"/>
        <v>5.333333333333333</v>
      </c>
      <c r="W11" s="113">
        <f t="shared" si="0"/>
        <v>5.333333333333333</v>
      </c>
      <c r="X11" s="113">
        <f t="shared" si="0"/>
        <v>5.333333333333333</v>
      </c>
      <c r="Y11" s="109">
        <f t="shared" si="0"/>
        <v>5.333333333333333</v>
      </c>
      <c r="Z11" s="109">
        <f t="shared" si="0"/>
        <v>5.333333333333333</v>
      </c>
      <c r="AA11" s="1"/>
      <c r="AB11" s="1"/>
      <c r="AC11" s="1"/>
      <c r="AD11" s="1"/>
      <c r="AE11" s="1"/>
      <c r="AF11" s="1"/>
      <c r="AG11" s="1"/>
      <c r="AH11" s="110">
        <f t="shared" si="11"/>
        <v>-320</v>
      </c>
      <c r="AI11" s="110">
        <f t="shared" si="12"/>
        <v>-5.333333333333333</v>
      </c>
      <c r="AJ11" s="110">
        <f t="shared" si="13"/>
        <v>-5.333333333333333</v>
      </c>
      <c r="AK11" s="110">
        <f t="shared" si="14"/>
        <v>-5.333333333333333</v>
      </c>
      <c r="AL11" s="110">
        <f t="shared" si="15"/>
        <v>-5.333333333333333</v>
      </c>
      <c r="AM11" s="110">
        <f t="shared" si="16"/>
        <v>-5.333333333333333</v>
      </c>
      <c r="AN11" s="110">
        <f t="shared" si="17"/>
        <v>-5.333333333333333</v>
      </c>
    </row>
    <row r="12" spans="1:40" ht="15.75" hidden="1" thickBot="1" x14ac:dyDescent="0.25">
      <c r="A12" s="119">
        <v>9</v>
      </c>
      <c r="B12" s="120">
        <v>1</v>
      </c>
      <c r="C12" s="121" t="s">
        <v>108</v>
      </c>
      <c r="D12" s="119" t="s">
        <v>132</v>
      </c>
      <c r="E12" s="119" t="s">
        <v>133</v>
      </c>
      <c r="F12" s="119" t="s">
        <v>134</v>
      </c>
      <c r="G12" s="119" t="s">
        <v>135</v>
      </c>
      <c r="H12" s="20">
        <v>1901482</v>
      </c>
      <c r="I12" s="20" t="s">
        <v>113</v>
      </c>
      <c r="J12" s="20" t="s">
        <v>118</v>
      </c>
      <c r="K12" s="21" t="s">
        <v>115</v>
      </c>
      <c r="L12" s="112">
        <v>6</v>
      </c>
      <c r="M12" s="108">
        <f t="shared" si="2"/>
        <v>24</v>
      </c>
      <c r="N12" s="108">
        <f t="shared" si="3"/>
        <v>240</v>
      </c>
      <c r="O12" s="108">
        <f t="shared" si="4"/>
        <v>288</v>
      </c>
      <c r="P12" s="108">
        <f t="shared" si="5"/>
        <v>48</v>
      </c>
      <c r="Q12" s="108">
        <f t="shared" si="6"/>
        <v>12</v>
      </c>
      <c r="R12" s="108">
        <f t="shared" si="7"/>
        <v>12</v>
      </c>
      <c r="S12" s="114">
        <f t="shared" si="8"/>
        <v>24</v>
      </c>
      <c r="T12" s="108">
        <f t="shared" si="9"/>
        <v>240</v>
      </c>
      <c r="U12" s="113">
        <f t="shared" si="10"/>
        <v>4</v>
      </c>
      <c r="V12" s="113">
        <f t="shared" si="0"/>
        <v>4</v>
      </c>
      <c r="W12" s="113">
        <f t="shared" si="0"/>
        <v>4</v>
      </c>
      <c r="X12" s="113">
        <f t="shared" si="0"/>
        <v>4</v>
      </c>
      <c r="Y12" s="109">
        <f t="shared" si="0"/>
        <v>4</v>
      </c>
      <c r="Z12" s="109">
        <f t="shared" si="0"/>
        <v>4</v>
      </c>
      <c r="AA12" s="1"/>
      <c r="AB12" s="1"/>
      <c r="AC12" s="1"/>
      <c r="AD12" s="1"/>
      <c r="AE12" s="1"/>
      <c r="AF12" s="1"/>
      <c r="AG12" s="1"/>
      <c r="AH12" s="110">
        <f t="shared" si="11"/>
        <v>-240</v>
      </c>
      <c r="AI12" s="110">
        <f t="shared" si="12"/>
        <v>-4</v>
      </c>
      <c r="AJ12" s="110">
        <f t="shared" si="13"/>
        <v>-4</v>
      </c>
      <c r="AK12" s="110">
        <f t="shared" si="14"/>
        <v>-4</v>
      </c>
      <c r="AL12" s="110">
        <f t="shared" si="15"/>
        <v>-4</v>
      </c>
      <c r="AM12" s="110">
        <f t="shared" si="16"/>
        <v>-4</v>
      </c>
      <c r="AN12" s="110">
        <f t="shared" si="17"/>
        <v>-4</v>
      </c>
    </row>
    <row r="13" spans="1:40" ht="15.75" hidden="1" thickBot="1" x14ac:dyDescent="0.25">
      <c r="A13" s="119">
        <v>10</v>
      </c>
      <c r="B13" s="120">
        <v>1</v>
      </c>
      <c r="C13" s="121" t="s">
        <v>116</v>
      </c>
      <c r="D13" s="119" t="s">
        <v>132</v>
      </c>
      <c r="E13" s="119" t="s">
        <v>133</v>
      </c>
      <c r="F13" s="119" t="s">
        <v>134</v>
      </c>
      <c r="G13" s="119" t="s">
        <v>136</v>
      </c>
      <c r="H13" s="20">
        <v>1725225</v>
      </c>
      <c r="I13" s="20" t="s">
        <v>113</v>
      </c>
      <c r="J13" s="20" t="s">
        <v>118</v>
      </c>
      <c r="K13" s="21" t="s">
        <v>122</v>
      </c>
      <c r="L13" s="112">
        <v>6</v>
      </c>
      <c r="M13" s="108">
        <f t="shared" si="2"/>
        <v>24</v>
      </c>
      <c r="N13" s="108">
        <f t="shared" si="3"/>
        <v>240</v>
      </c>
      <c r="O13" s="108">
        <f t="shared" si="4"/>
        <v>288</v>
      </c>
      <c r="P13" s="108">
        <f t="shared" si="5"/>
        <v>48</v>
      </c>
      <c r="Q13" s="108">
        <f t="shared" si="6"/>
        <v>12</v>
      </c>
      <c r="R13" s="108">
        <f t="shared" si="7"/>
        <v>12</v>
      </c>
      <c r="S13" s="114">
        <f t="shared" si="8"/>
        <v>24</v>
      </c>
      <c r="T13" s="108">
        <f t="shared" si="9"/>
        <v>240</v>
      </c>
      <c r="U13" s="113">
        <f t="shared" si="10"/>
        <v>4</v>
      </c>
      <c r="V13" s="113">
        <f t="shared" si="0"/>
        <v>4</v>
      </c>
      <c r="W13" s="113">
        <f t="shared" si="0"/>
        <v>4</v>
      </c>
      <c r="X13" s="113">
        <f t="shared" si="0"/>
        <v>4</v>
      </c>
      <c r="Y13" s="109">
        <f t="shared" si="0"/>
        <v>4</v>
      </c>
      <c r="Z13" s="109">
        <f t="shared" si="0"/>
        <v>4</v>
      </c>
      <c r="AA13" s="1"/>
      <c r="AB13" s="1"/>
      <c r="AC13" s="1"/>
      <c r="AD13" s="1"/>
      <c r="AE13" s="1"/>
      <c r="AF13" s="1"/>
      <c r="AG13" s="1"/>
      <c r="AH13" s="110">
        <f t="shared" si="11"/>
        <v>-240</v>
      </c>
      <c r="AI13" s="110">
        <f t="shared" si="12"/>
        <v>-4</v>
      </c>
      <c r="AJ13" s="110">
        <f t="shared" si="13"/>
        <v>-4</v>
      </c>
      <c r="AK13" s="110">
        <f t="shared" si="14"/>
        <v>-4</v>
      </c>
      <c r="AL13" s="110">
        <f t="shared" si="15"/>
        <v>-4</v>
      </c>
      <c r="AM13" s="110">
        <f t="shared" si="16"/>
        <v>-4</v>
      </c>
      <c r="AN13" s="110">
        <f t="shared" si="17"/>
        <v>-4</v>
      </c>
    </row>
    <row r="14" spans="1:40" ht="15.75" hidden="1" thickBot="1" x14ac:dyDescent="0.25">
      <c r="A14" s="119">
        <v>11</v>
      </c>
      <c r="B14" s="120">
        <v>1</v>
      </c>
      <c r="C14" s="121" t="s">
        <v>108</v>
      </c>
      <c r="D14" s="119" t="s">
        <v>132</v>
      </c>
      <c r="E14" s="119" t="s">
        <v>137</v>
      </c>
      <c r="F14" s="119" t="s">
        <v>138</v>
      </c>
      <c r="G14" s="119" t="s">
        <v>139</v>
      </c>
      <c r="H14" s="20">
        <v>1718717</v>
      </c>
      <c r="I14" s="20" t="s">
        <v>113</v>
      </c>
      <c r="J14" s="20" t="s">
        <v>114</v>
      </c>
      <c r="K14" s="21" t="s">
        <v>115</v>
      </c>
      <c r="L14" s="112">
        <v>6</v>
      </c>
      <c r="M14" s="108">
        <f t="shared" si="2"/>
        <v>24</v>
      </c>
      <c r="N14" s="108">
        <f t="shared" si="3"/>
        <v>240</v>
      </c>
      <c r="O14" s="108">
        <f t="shared" si="4"/>
        <v>288</v>
      </c>
      <c r="P14" s="108">
        <f t="shared" si="5"/>
        <v>48</v>
      </c>
      <c r="Q14" s="108">
        <f t="shared" si="6"/>
        <v>12</v>
      </c>
      <c r="R14" s="108">
        <f t="shared" si="7"/>
        <v>12</v>
      </c>
      <c r="S14" s="114">
        <f t="shared" si="8"/>
        <v>24</v>
      </c>
      <c r="T14" s="108">
        <f t="shared" si="9"/>
        <v>240</v>
      </c>
      <c r="U14" s="113">
        <f t="shared" si="10"/>
        <v>4</v>
      </c>
      <c r="V14" s="113">
        <f t="shared" si="0"/>
        <v>4</v>
      </c>
      <c r="W14" s="113">
        <f t="shared" si="0"/>
        <v>4</v>
      </c>
      <c r="X14" s="113">
        <f t="shared" si="0"/>
        <v>4</v>
      </c>
      <c r="Y14" s="109">
        <f t="shared" si="0"/>
        <v>4</v>
      </c>
      <c r="Z14" s="109">
        <f t="shared" si="0"/>
        <v>4</v>
      </c>
      <c r="AA14" s="1"/>
      <c r="AB14" s="1"/>
      <c r="AC14" s="1"/>
      <c r="AD14" s="1"/>
      <c r="AE14" s="1"/>
      <c r="AF14" s="1"/>
      <c r="AG14" s="1"/>
      <c r="AH14" s="110">
        <f t="shared" si="11"/>
        <v>-240</v>
      </c>
      <c r="AI14" s="110">
        <f t="shared" si="12"/>
        <v>-4</v>
      </c>
      <c r="AJ14" s="110">
        <f t="shared" si="13"/>
        <v>-4</v>
      </c>
      <c r="AK14" s="110">
        <f t="shared" si="14"/>
        <v>-4</v>
      </c>
      <c r="AL14" s="110">
        <f t="shared" si="15"/>
        <v>-4</v>
      </c>
      <c r="AM14" s="110">
        <f t="shared" si="16"/>
        <v>-4</v>
      </c>
      <c r="AN14" s="110">
        <f t="shared" si="17"/>
        <v>-4</v>
      </c>
    </row>
    <row r="15" spans="1:40" ht="15.75" hidden="1" thickBot="1" x14ac:dyDescent="0.25">
      <c r="A15" s="119">
        <v>12</v>
      </c>
      <c r="B15" s="120">
        <v>1</v>
      </c>
      <c r="C15" s="121" t="s">
        <v>116</v>
      </c>
      <c r="D15" s="119" t="s">
        <v>132</v>
      </c>
      <c r="E15" s="119" t="s">
        <v>137</v>
      </c>
      <c r="F15" s="119" t="s">
        <v>138</v>
      </c>
      <c r="G15" s="119" t="s">
        <v>140</v>
      </c>
      <c r="H15" s="20">
        <v>3873948</v>
      </c>
      <c r="I15" s="20" t="s">
        <v>113</v>
      </c>
      <c r="J15" s="20" t="s">
        <v>118</v>
      </c>
      <c r="K15" s="21" t="s">
        <v>122</v>
      </c>
      <c r="L15" s="112">
        <v>6</v>
      </c>
      <c r="M15" s="108">
        <f t="shared" si="2"/>
        <v>24</v>
      </c>
      <c r="N15" s="108">
        <f t="shared" si="3"/>
        <v>240</v>
      </c>
      <c r="O15" s="108">
        <f t="shared" si="4"/>
        <v>288</v>
      </c>
      <c r="P15" s="108">
        <f t="shared" si="5"/>
        <v>48</v>
      </c>
      <c r="Q15" s="108">
        <f t="shared" si="6"/>
        <v>12</v>
      </c>
      <c r="R15" s="108">
        <f t="shared" si="7"/>
        <v>12</v>
      </c>
      <c r="S15" s="114">
        <f t="shared" si="8"/>
        <v>24</v>
      </c>
      <c r="T15" s="108">
        <f t="shared" si="9"/>
        <v>240</v>
      </c>
      <c r="U15" s="113">
        <f t="shared" si="10"/>
        <v>4</v>
      </c>
      <c r="V15" s="113">
        <f t="shared" si="0"/>
        <v>4</v>
      </c>
      <c r="W15" s="113">
        <f t="shared" si="0"/>
        <v>4</v>
      </c>
      <c r="X15" s="113">
        <f t="shared" si="0"/>
        <v>4</v>
      </c>
      <c r="Y15" s="109">
        <f t="shared" si="0"/>
        <v>4</v>
      </c>
      <c r="Z15" s="109">
        <f t="shared" si="0"/>
        <v>4</v>
      </c>
      <c r="AA15" s="1"/>
      <c r="AB15" s="1"/>
      <c r="AC15" s="1"/>
      <c r="AD15" s="1"/>
      <c r="AE15" s="1"/>
      <c r="AF15" s="1"/>
      <c r="AG15" s="1"/>
      <c r="AH15" s="110">
        <f t="shared" si="11"/>
        <v>-240</v>
      </c>
      <c r="AI15" s="110">
        <f t="shared" si="12"/>
        <v>-4</v>
      </c>
      <c r="AJ15" s="110">
        <f t="shared" si="13"/>
        <v>-4</v>
      </c>
      <c r="AK15" s="110">
        <f t="shared" si="14"/>
        <v>-4</v>
      </c>
      <c r="AL15" s="110">
        <f t="shared" si="15"/>
        <v>-4</v>
      </c>
      <c r="AM15" s="110">
        <f t="shared" si="16"/>
        <v>-4</v>
      </c>
      <c r="AN15" s="110">
        <f t="shared" si="17"/>
        <v>-4</v>
      </c>
    </row>
    <row r="16" spans="1:40" ht="15.75" hidden="1" thickBot="1" x14ac:dyDescent="0.25">
      <c r="A16" s="119">
        <v>13</v>
      </c>
      <c r="B16" s="120">
        <v>2</v>
      </c>
      <c r="C16" s="121" t="s">
        <v>108</v>
      </c>
      <c r="D16" s="119" t="s">
        <v>109</v>
      </c>
      <c r="E16" s="119" t="s">
        <v>141</v>
      </c>
      <c r="F16" s="119" t="s">
        <v>142</v>
      </c>
      <c r="G16" s="119" t="s">
        <v>143</v>
      </c>
      <c r="H16" s="20">
        <v>3376595</v>
      </c>
      <c r="I16" s="20" t="s">
        <v>113</v>
      </c>
      <c r="J16" s="20" t="s">
        <v>118</v>
      </c>
      <c r="K16" s="21" t="s">
        <v>115</v>
      </c>
      <c r="L16" s="112">
        <v>6</v>
      </c>
      <c r="M16" s="108">
        <f t="shared" si="2"/>
        <v>24</v>
      </c>
      <c r="N16" s="108">
        <f t="shared" si="3"/>
        <v>240</v>
      </c>
      <c r="O16" s="108">
        <f t="shared" si="4"/>
        <v>288</v>
      </c>
      <c r="P16" s="108">
        <f t="shared" si="5"/>
        <v>48</v>
      </c>
      <c r="Q16" s="108">
        <f t="shared" si="6"/>
        <v>12</v>
      </c>
      <c r="R16" s="108">
        <f t="shared" si="7"/>
        <v>12</v>
      </c>
      <c r="S16" s="114">
        <f t="shared" si="8"/>
        <v>24</v>
      </c>
      <c r="T16" s="108">
        <f t="shared" si="9"/>
        <v>240</v>
      </c>
      <c r="U16" s="113">
        <f t="shared" si="10"/>
        <v>4</v>
      </c>
      <c r="V16" s="113">
        <f t="shared" si="0"/>
        <v>4</v>
      </c>
      <c r="W16" s="113">
        <f t="shared" si="0"/>
        <v>4</v>
      </c>
      <c r="X16" s="113">
        <f t="shared" si="0"/>
        <v>4</v>
      </c>
      <c r="Y16" s="109">
        <f t="shared" si="0"/>
        <v>4</v>
      </c>
      <c r="Z16" s="109">
        <f t="shared" si="0"/>
        <v>4</v>
      </c>
      <c r="AA16" s="1"/>
      <c r="AB16" s="1"/>
      <c r="AC16" s="1"/>
      <c r="AD16" s="1"/>
      <c r="AE16" s="1"/>
      <c r="AF16" s="1"/>
      <c r="AG16" s="1"/>
      <c r="AH16" s="110">
        <f t="shared" si="11"/>
        <v>-240</v>
      </c>
      <c r="AI16" s="110">
        <f t="shared" si="12"/>
        <v>-4</v>
      </c>
      <c r="AJ16" s="110">
        <f t="shared" si="13"/>
        <v>-4</v>
      </c>
      <c r="AK16" s="110">
        <f t="shared" si="14"/>
        <v>-4</v>
      </c>
      <c r="AL16" s="110">
        <f t="shared" si="15"/>
        <v>-4</v>
      </c>
      <c r="AM16" s="110">
        <f t="shared" si="16"/>
        <v>-4</v>
      </c>
      <c r="AN16" s="110">
        <f t="shared" si="17"/>
        <v>-4</v>
      </c>
    </row>
    <row r="17" spans="1:40" ht="15" customHeight="1" thickBot="1" x14ac:dyDescent="0.25">
      <c r="A17" s="119">
        <v>14</v>
      </c>
      <c r="B17" s="120">
        <v>2</v>
      </c>
      <c r="C17" s="121" t="s">
        <v>116</v>
      </c>
      <c r="D17" s="119" t="s">
        <v>109</v>
      </c>
      <c r="E17" s="119" t="s">
        <v>141</v>
      </c>
      <c r="F17" s="119" t="s">
        <v>142</v>
      </c>
      <c r="G17" s="119" t="s">
        <v>144</v>
      </c>
      <c r="H17" s="20">
        <v>4826345</v>
      </c>
      <c r="I17" s="20" t="s">
        <v>113</v>
      </c>
      <c r="J17" s="20" t="s">
        <v>118</v>
      </c>
      <c r="K17" s="21" t="s">
        <v>122</v>
      </c>
      <c r="L17" s="112">
        <v>6</v>
      </c>
      <c r="M17" s="108">
        <f t="shared" si="2"/>
        <v>24</v>
      </c>
      <c r="N17" s="108">
        <f>L17*40</f>
        <v>240</v>
      </c>
      <c r="O17" s="108">
        <f t="shared" si="4"/>
        <v>288</v>
      </c>
      <c r="P17" s="108">
        <f>O17-N17</f>
        <v>48</v>
      </c>
      <c r="Q17" s="108">
        <f>M17/2</f>
        <v>12</v>
      </c>
      <c r="R17" s="108">
        <f t="shared" si="7"/>
        <v>12</v>
      </c>
      <c r="S17" s="114">
        <f t="shared" si="8"/>
        <v>24</v>
      </c>
      <c r="T17" s="108">
        <f t="shared" si="9"/>
        <v>240</v>
      </c>
      <c r="U17" s="113">
        <f t="shared" si="10"/>
        <v>4</v>
      </c>
      <c r="V17" s="113">
        <f t="shared" si="0"/>
        <v>4</v>
      </c>
      <c r="W17" s="113">
        <f t="shared" si="0"/>
        <v>4</v>
      </c>
      <c r="X17" s="113">
        <f t="shared" si="0"/>
        <v>4</v>
      </c>
      <c r="Y17" s="109">
        <f t="shared" si="0"/>
        <v>4</v>
      </c>
      <c r="Z17" s="109">
        <f t="shared" si="0"/>
        <v>4</v>
      </c>
      <c r="AA17" s="1"/>
      <c r="AB17" s="1"/>
      <c r="AC17" s="1"/>
      <c r="AD17" s="1"/>
      <c r="AE17" s="1"/>
      <c r="AF17" s="1"/>
      <c r="AG17" s="1"/>
      <c r="AH17" s="110">
        <f t="shared" si="11"/>
        <v>-240</v>
      </c>
      <c r="AI17" s="110">
        <f t="shared" si="12"/>
        <v>-4</v>
      </c>
      <c r="AJ17" s="110">
        <f t="shared" si="13"/>
        <v>-4</v>
      </c>
      <c r="AK17" s="110">
        <f t="shared" si="14"/>
        <v>-4</v>
      </c>
      <c r="AL17" s="110">
        <f t="shared" si="15"/>
        <v>-4</v>
      </c>
      <c r="AM17" s="110">
        <f t="shared" si="16"/>
        <v>-4</v>
      </c>
      <c r="AN17" s="110">
        <f t="shared" si="17"/>
        <v>-4</v>
      </c>
    </row>
    <row r="18" spans="1:40" ht="15.75" hidden="1" thickBot="1" x14ac:dyDescent="0.25">
      <c r="A18" s="119">
        <v>15</v>
      </c>
      <c r="B18" s="120">
        <v>2</v>
      </c>
      <c r="C18" s="121" t="s">
        <v>108</v>
      </c>
      <c r="D18" s="119" t="s">
        <v>109</v>
      </c>
      <c r="E18" s="119" t="s">
        <v>145</v>
      </c>
      <c r="F18" s="119" t="s">
        <v>146</v>
      </c>
      <c r="G18" s="119" t="s">
        <v>147</v>
      </c>
      <c r="H18" s="20">
        <v>6695335</v>
      </c>
      <c r="I18" s="20" t="s">
        <v>113</v>
      </c>
      <c r="J18" s="20" t="s">
        <v>118</v>
      </c>
      <c r="K18" s="21" t="s">
        <v>115</v>
      </c>
      <c r="L18" s="112">
        <v>6</v>
      </c>
      <c r="M18" s="108">
        <f t="shared" si="2"/>
        <v>24</v>
      </c>
      <c r="N18" s="108">
        <f t="shared" si="3"/>
        <v>240</v>
      </c>
      <c r="O18" s="108">
        <f t="shared" si="4"/>
        <v>288</v>
      </c>
      <c r="P18" s="108">
        <f t="shared" si="5"/>
        <v>48</v>
      </c>
      <c r="Q18" s="108">
        <f t="shared" si="6"/>
        <v>12</v>
      </c>
      <c r="R18" s="108">
        <f t="shared" si="7"/>
        <v>12</v>
      </c>
      <c r="S18" s="114">
        <f t="shared" si="8"/>
        <v>24</v>
      </c>
      <c r="T18" s="108">
        <f t="shared" si="9"/>
        <v>240</v>
      </c>
      <c r="U18" s="113">
        <f t="shared" si="10"/>
        <v>4</v>
      </c>
      <c r="V18" s="113">
        <f t="shared" si="0"/>
        <v>4</v>
      </c>
      <c r="W18" s="113">
        <f t="shared" si="0"/>
        <v>4</v>
      </c>
      <c r="X18" s="113">
        <f t="shared" si="0"/>
        <v>4</v>
      </c>
      <c r="Y18" s="109">
        <f t="shared" si="0"/>
        <v>4</v>
      </c>
      <c r="Z18" s="109">
        <f t="shared" si="0"/>
        <v>4</v>
      </c>
      <c r="AA18" s="1"/>
      <c r="AB18" s="1"/>
      <c r="AC18" s="1"/>
      <c r="AD18" s="1"/>
      <c r="AE18" s="1"/>
      <c r="AF18" s="1"/>
      <c r="AG18" s="1"/>
      <c r="AH18" s="110">
        <f t="shared" si="11"/>
        <v>-240</v>
      </c>
      <c r="AI18" s="110">
        <f t="shared" si="12"/>
        <v>-4</v>
      </c>
      <c r="AJ18" s="110">
        <f t="shared" si="13"/>
        <v>-4</v>
      </c>
      <c r="AK18" s="110">
        <f t="shared" si="14"/>
        <v>-4</v>
      </c>
      <c r="AL18" s="110">
        <f t="shared" si="15"/>
        <v>-4</v>
      </c>
      <c r="AM18" s="110">
        <f t="shared" si="16"/>
        <v>-4</v>
      </c>
      <c r="AN18" s="110">
        <f t="shared" si="17"/>
        <v>-4</v>
      </c>
    </row>
    <row r="19" spans="1:40" ht="15.75" hidden="1" thickBot="1" x14ac:dyDescent="0.25">
      <c r="A19" s="119">
        <v>16</v>
      </c>
      <c r="B19" s="120">
        <v>2</v>
      </c>
      <c r="C19" s="121" t="s">
        <v>116</v>
      </c>
      <c r="D19" s="119" t="s">
        <v>109</v>
      </c>
      <c r="E19" s="119" t="s">
        <v>145</v>
      </c>
      <c r="F19" s="119" t="s">
        <v>146</v>
      </c>
      <c r="G19" s="119" t="s">
        <v>148</v>
      </c>
      <c r="H19" s="20">
        <v>1713329</v>
      </c>
      <c r="I19" s="20" t="s">
        <v>113</v>
      </c>
      <c r="J19" s="20" t="s">
        <v>118</v>
      </c>
      <c r="K19" s="21" t="s">
        <v>115</v>
      </c>
      <c r="L19" s="112">
        <v>6</v>
      </c>
      <c r="M19" s="108">
        <f t="shared" si="2"/>
        <v>24</v>
      </c>
      <c r="N19" s="108">
        <f t="shared" si="3"/>
        <v>240</v>
      </c>
      <c r="O19" s="108">
        <f t="shared" si="4"/>
        <v>288</v>
      </c>
      <c r="P19" s="108">
        <f t="shared" si="5"/>
        <v>48</v>
      </c>
      <c r="Q19" s="108">
        <f t="shared" si="6"/>
        <v>12</v>
      </c>
      <c r="R19" s="108">
        <f t="shared" si="7"/>
        <v>12</v>
      </c>
      <c r="S19" s="114">
        <f t="shared" si="8"/>
        <v>24</v>
      </c>
      <c r="T19" s="108">
        <f t="shared" si="9"/>
        <v>240</v>
      </c>
      <c r="U19" s="113">
        <f t="shared" si="10"/>
        <v>4</v>
      </c>
      <c r="V19" s="113">
        <f t="shared" si="0"/>
        <v>4</v>
      </c>
      <c r="W19" s="113">
        <f t="shared" si="0"/>
        <v>4</v>
      </c>
      <c r="X19" s="113">
        <f t="shared" si="0"/>
        <v>4</v>
      </c>
      <c r="Y19" s="109">
        <f t="shared" si="0"/>
        <v>4</v>
      </c>
      <c r="Z19" s="109">
        <f t="shared" si="0"/>
        <v>4</v>
      </c>
      <c r="AA19" s="1"/>
      <c r="AB19" s="1"/>
      <c r="AC19" s="1"/>
      <c r="AD19" s="1"/>
      <c r="AE19" s="1"/>
      <c r="AF19" s="1"/>
      <c r="AG19" s="1"/>
      <c r="AH19" s="110">
        <f t="shared" si="11"/>
        <v>-240</v>
      </c>
      <c r="AI19" s="110">
        <f t="shared" si="12"/>
        <v>-4</v>
      </c>
      <c r="AJ19" s="110">
        <f t="shared" si="13"/>
        <v>-4</v>
      </c>
      <c r="AK19" s="110">
        <f t="shared" si="14"/>
        <v>-4</v>
      </c>
      <c r="AL19" s="110">
        <f t="shared" si="15"/>
        <v>-4</v>
      </c>
      <c r="AM19" s="110">
        <f t="shared" si="16"/>
        <v>-4</v>
      </c>
      <c r="AN19" s="110">
        <f t="shared" si="17"/>
        <v>-4</v>
      </c>
    </row>
    <row r="20" spans="1:40" ht="15.75" hidden="1" thickBot="1" x14ac:dyDescent="0.25">
      <c r="A20" s="119">
        <v>17</v>
      </c>
      <c r="B20" s="120">
        <v>2</v>
      </c>
      <c r="C20" s="121" t="s">
        <v>108</v>
      </c>
      <c r="D20" s="119" t="s">
        <v>109</v>
      </c>
      <c r="E20" s="119" t="s">
        <v>149</v>
      </c>
      <c r="F20" s="119" t="s">
        <v>150</v>
      </c>
      <c r="G20" s="119" t="s">
        <v>151</v>
      </c>
      <c r="H20" s="20">
        <v>2851753</v>
      </c>
      <c r="I20" s="20" t="s">
        <v>113</v>
      </c>
      <c r="J20" s="20" t="s">
        <v>118</v>
      </c>
      <c r="K20" s="21" t="s">
        <v>115</v>
      </c>
      <c r="L20" s="112">
        <v>6</v>
      </c>
      <c r="M20" s="108">
        <f t="shared" si="2"/>
        <v>24</v>
      </c>
      <c r="N20" s="108">
        <f t="shared" si="3"/>
        <v>240</v>
      </c>
      <c r="O20" s="108">
        <f t="shared" si="4"/>
        <v>288</v>
      </c>
      <c r="P20" s="108">
        <f t="shared" si="5"/>
        <v>48</v>
      </c>
      <c r="Q20" s="108">
        <f t="shared" si="6"/>
        <v>12</v>
      </c>
      <c r="R20" s="108">
        <f t="shared" si="7"/>
        <v>12</v>
      </c>
      <c r="S20" s="114">
        <f t="shared" si="8"/>
        <v>24</v>
      </c>
      <c r="T20" s="108">
        <f t="shared" si="9"/>
        <v>240</v>
      </c>
      <c r="U20" s="113">
        <f t="shared" si="10"/>
        <v>4</v>
      </c>
      <c r="V20" s="113">
        <f t="shared" si="10"/>
        <v>4</v>
      </c>
      <c r="W20" s="113">
        <f t="shared" si="10"/>
        <v>4</v>
      </c>
      <c r="X20" s="113">
        <f t="shared" si="10"/>
        <v>4</v>
      </c>
      <c r="Y20" s="109">
        <f t="shared" si="10"/>
        <v>4</v>
      </c>
      <c r="Z20" s="109">
        <f t="shared" si="10"/>
        <v>4</v>
      </c>
      <c r="AA20" s="1"/>
      <c r="AB20" s="1"/>
      <c r="AC20" s="1"/>
      <c r="AD20" s="1"/>
      <c r="AE20" s="1"/>
      <c r="AF20" s="1"/>
      <c r="AG20" s="1"/>
      <c r="AH20" s="110">
        <f t="shared" si="11"/>
        <v>-240</v>
      </c>
      <c r="AI20" s="110">
        <f t="shared" si="12"/>
        <v>-4</v>
      </c>
      <c r="AJ20" s="110">
        <f t="shared" si="13"/>
        <v>-4</v>
      </c>
      <c r="AK20" s="110">
        <f t="shared" si="14"/>
        <v>-4</v>
      </c>
      <c r="AL20" s="110">
        <f t="shared" si="15"/>
        <v>-4</v>
      </c>
      <c r="AM20" s="110">
        <f t="shared" si="16"/>
        <v>-4</v>
      </c>
      <c r="AN20" s="110">
        <f t="shared" si="17"/>
        <v>-4</v>
      </c>
    </row>
    <row r="21" spans="1:40" ht="1.5" hidden="1" customHeight="1" thickBot="1" x14ac:dyDescent="0.25">
      <c r="A21" s="119">
        <v>18</v>
      </c>
      <c r="B21" s="120">
        <v>2</v>
      </c>
      <c r="C21" s="121" t="s">
        <v>116</v>
      </c>
      <c r="D21" s="119" t="s">
        <v>109</v>
      </c>
      <c r="E21" s="119" t="s">
        <v>149</v>
      </c>
      <c r="F21" s="119" t="s">
        <v>150</v>
      </c>
      <c r="G21" s="119" t="s">
        <v>152</v>
      </c>
      <c r="H21" s="20">
        <v>4187471</v>
      </c>
      <c r="I21" s="20" t="s">
        <v>113</v>
      </c>
      <c r="J21" s="20" t="s">
        <v>118</v>
      </c>
      <c r="K21" s="21" t="s">
        <v>115</v>
      </c>
      <c r="L21" s="112">
        <v>6</v>
      </c>
      <c r="M21" s="108">
        <f t="shared" si="2"/>
        <v>24</v>
      </c>
      <c r="N21" s="108">
        <f t="shared" si="3"/>
        <v>240</v>
      </c>
      <c r="O21" s="108">
        <f t="shared" si="4"/>
        <v>288</v>
      </c>
      <c r="P21" s="108">
        <f t="shared" si="5"/>
        <v>48</v>
      </c>
      <c r="Q21" s="108">
        <f t="shared" si="6"/>
        <v>12</v>
      </c>
      <c r="R21" s="108">
        <f t="shared" si="7"/>
        <v>12</v>
      </c>
      <c r="S21" s="114">
        <f t="shared" si="8"/>
        <v>24</v>
      </c>
      <c r="T21" s="108">
        <f t="shared" si="9"/>
        <v>240</v>
      </c>
      <c r="U21" s="113">
        <f t="shared" si="10"/>
        <v>4</v>
      </c>
      <c r="V21" s="113">
        <f t="shared" si="10"/>
        <v>4</v>
      </c>
      <c r="W21" s="113">
        <f t="shared" si="10"/>
        <v>4</v>
      </c>
      <c r="X21" s="113">
        <f t="shared" si="10"/>
        <v>4</v>
      </c>
      <c r="Y21" s="109">
        <f t="shared" si="10"/>
        <v>4</v>
      </c>
      <c r="Z21" s="109">
        <f t="shared" si="10"/>
        <v>4</v>
      </c>
      <c r="AA21" s="1"/>
      <c r="AB21" s="1"/>
      <c r="AC21" s="1"/>
      <c r="AD21" s="1"/>
      <c r="AE21" s="1"/>
      <c r="AF21" s="1"/>
      <c r="AG21" s="1"/>
      <c r="AH21" s="110">
        <f t="shared" si="11"/>
        <v>-240</v>
      </c>
      <c r="AI21" s="110">
        <f t="shared" si="12"/>
        <v>-4</v>
      </c>
      <c r="AJ21" s="110">
        <f t="shared" si="13"/>
        <v>-4</v>
      </c>
      <c r="AK21" s="110">
        <f t="shared" si="14"/>
        <v>-4</v>
      </c>
      <c r="AL21" s="110">
        <f t="shared" si="15"/>
        <v>-4</v>
      </c>
      <c r="AM21" s="110">
        <f t="shared" si="16"/>
        <v>-4</v>
      </c>
      <c r="AN21" s="110">
        <f t="shared" si="17"/>
        <v>-4</v>
      </c>
    </row>
    <row r="22" spans="1:40" ht="15.75" hidden="1" thickBot="1" x14ac:dyDescent="0.25">
      <c r="A22" s="119">
        <v>19</v>
      </c>
      <c r="B22" s="120">
        <v>2</v>
      </c>
      <c r="C22" s="121" t="s">
        <v>108</v>
      </c>
      <c r="D22" s="119" t="s">
        <v>0</v>
      </c>
      <c r="E22" s="119" t="s">
        <v>153</v>
      </c>
      <c r="F22" s="119" t="s">
        <v>154</v>
      </c>
      <c r="G22" s="119" t="s">
        <v>130</v>
      </c>
      <c r="H22" s="20">
        <v>5645290</v>
      </c>
      <c r="I22" s="20" t="s">
        <v>113</v>
      </c>
      <c r="J22" s="20" t="s">
        <v>118</v>
      </c>
      <c r="K22" s="21" t="s">
        <v>122</v>
      </c>
      <c r="L22" s="112">
        <v>6</v>
      </c>
      <c r="M22" s="108">
        <f t="shared" si="2"/>
        <v>24</v>
      </c>
      <c r="N22" s="108">
        <f t="shared" si="3"/>
        <v>240</v>
      </c>
      <c r="O22" s="108">
        <f t="shared" si="4"/>
        <v>288</v>
      </c>
      <c r="P22" s="108">
        <f t="shared" si="5"/>
        <v>48</v>
      </c>
      <c r="Q22" s="108">
        <f t="shared" si="6"/>
        <v>12</v>
      </c>
      <c r="R22" s="108">
        <f t="shared" si="7"/>
        <v>12</v>
      </c>
      <c r="S22" s="114">
        <f t="shared" si="8"/>
        <v>24</v>
      </c>
      <c r="T22" s="108">
        <f t="shared" si="9"/>
        <v>240</v>
      </c>
      <c r="U22" s="113">
        <f t="shared" si="10"/>
        <v>4</v>
      </c>
      <c r="V22" s="113">
        <f t="shared" si="10"/>
        <v>4</v>
      </c>
      <c r="W22" s="113">
        <f t="shared" si="10"/>
        <v>4</v>
      </c>
      <c r="X22" s="113">
        <f t="shared" si="10"/>
        <v>4</v>
      </c>
      <c r="Y22" s="109">
        <f t="shared" si="10"/>
        <v>4</v>
      </c>
      <c r="Z22" s="109">
        <f t="shared" si="10"/>
        <v>4</v>
      </c>
      <c r="AA22" s="1"/>
      <c r="AB22" s="1"/>
      <c r="AC22" s="1"/>
      <c r="AD22" s="1"/>
      <c r="AE22" s="1"/>
      <c r="AF22" s="1"/>
      <c r="AG22" s="1"/>
      <c r="AH22" s="110">
        <f t="shared" si="11"/>
        <v>-240</v>
      </c>
      <c r="AI22" s="110">
        <f t="shared" si="12"/>
        <v>-4</v>
      </c>
      <c r="AJ22" s="110">
        <f t="shared" si="13"/>
        <v>-4</v>
      </c>
      <c r="AK22" s="110">
        <f t="shared" si="14"/>
        <v>-4</v>
      </c>
      <c r="AL22" s="110">
        <f t="shared" si="15"/>
        <v>-4</v>
      </c>
      <c r="AM22" s="110">
        <f t="shared" si="16"/>
        <v>-4</v>
      </c>
      <c r="AN22" s="110">
        <f t="shared" si="17"/>
        <v>-4</v>
      </c>
    </row>
    <row r="23" spans="1:40" ht="15.75" hidden="1" thickBot="1" x14ac:dyDescent="0.25">
      <c r="A23" s="119">
        <v>20</v>
      </c>
      <c r="B23" s="120">
        <v>2</v>
      </c>
      <c r="C23" s="121" t="s">
        <v>108</v>
      </c>
      <c r="D23" s="119" t="s">
        <v>132</v>
      </c>
      <c r="E23" s="119" t="s">
        <v>155</v>
      </c>
      <c r="F23" s="119" t="s">
        <v>156</v>
      </c>
      <c r="G23" s="119" t="s">
        <v>157</v>
      </c>
      <c r="H23" s="23" t="s">
        <v>158</v>
      </c>
      <c r="I23" s="20" t="s">
        <v>113</v>
      </c>
      <c r="J23" s="20" t="s">
        <v>118</v>
      </c>
      <c r="K23" s="21" t="s">
        <v>159</v>
      </c>
      <c r="L23" s="112">
        <v>6</v>
      </c>
      <c r="M23" s="108">
        <f t="shared" si="2"/>
        <v>24</v>
      </c>
      <c r="N23" s="108">
        <f t="shared" si="3"/>
        <v>240</v>
      </c>
      <c r="O23" s="108">
        <f t="shared" si="4"/>
        <v>288</v>
      </c>
      <c r="P23" s="108">
        <f t="shared" si="5"/>
        <v>48</v>
      </c>
      <c r="Q23" s="108">
        <f t="shared" si="6"/>
        <v>12</v>
      </c>
      <c r="R23" s="108">
        <f t="shared" si="7"/>
        <v>12</v>
      </c>
      <c r="S23" s="114">
        <f t="shared" si="8"/>
        <v>24</v>
      </c>
      <c r="T23" s="108">
        <f t="shared" si="9"/>
        <v>240</v>
      </c>
      <c r="U23" s="113">
        <f t="shared" si="10"/>
        <v>4</v>
      </c>
      <c r="V23" s="113">
        <f t="shared" si="10"/>
        <v>4</v>
      </c>
      <c r="W23" s="113">
        <f t="shared" si="10"/>
        <v>4</v>
      </c>
      <c r="X23" s="113">
        <f t="shared" si="10"/>
        <v>4</v>
      </c>
      <c r="Y23" s="109">
        <f t="shared" si="10"/>
        <v>4</v>
      </c>
      <c r="Z23" s="109">
        <f t="shared" si="10"/>
        <v>4</v>
      </c>
      <c r="AA23" s="1"/>
      <c r="AB23" s="1"/>
      <c r="AC23" s="1"/>
      <c r="AD23" s="1"/>
      <c r="AE23" s="1"/>
      <c r="AF23" s="1"/>
      <c r="AG23" s="1"/>
      <c r="AH23" s="110">
        <f t="shared" si="11"/>
        <v>-240</v>
      </c>
      <c r="AI23" s="110">
        <f t="shared" si="12"/>
        <v>-4</v>
      </c>
      <c r="AJ23" s="110">
        <f t="shared" si="13"/>
        <v>-4</v>
      </c>
      <c r="AK23" s="110">
        <f t="shared" si="14"/>
        <v>-4</v>
      </c>
      <c r="AL23" s="110">
        <f t="shared" si="15"/>
        <v>-4</v>
      </c>
      <c r="AM23" s="110">
        <f t="shared" si="16"/>
        <v>-4</v>
      </c>
      <c r="AN23" s="110">
        <f t="shared" si="17"/>
        <v>-4</v>
      </c>
    </row>
    <row r="24" spans="1:40" ht="15.75" hidden="1" thickBot="1" x14ac:dyDescent="0.25">
      <c r="A24" s="119">
        <v>21</v>
      </c>
      <c r="B24" s="120">
        <v>2</v>
      </c>
      <c r="C24" s="121" t="s">
        <v>116</v>
      </c>
      <c r="D24" s="119" t="s">
        <v>132</v>
      </c>
      <c r="E24" s="119" t="s">
        <v>155</v>
      </c>
      <c r="F24" s="119" t="s">
        <v>156</v>
      </c>
      <c r="G24" s="119" t="s">
        <v>160</v>
      </c>
      <c r="H24" s="20">
        <v>4176616</v>
      </c>
      <c r="I24" s="20" t="s">
        <v>113</v>
      </c>
      <c r="J24" s="20" t="s">
        <v>118</v>
      </c>
      <c r="K24" s="21" t="s">
        <v>115</v>
      </c>
      <c r="L24" s="112">
        <v>6</v>
      </c>
      <c r="M24" s="108">
        <f t="shared" si="2"/>
        <v>24</v>
      </c>
      <c r="N24" s="108">
        <f t="shared" si="3"/>
        <v>240</v>
      </c>
      <c r="O24" s="108">
        <f t="shared" si="4"/>
        <v>288</v>
      </c>
      <c r="P24" s="108">
        <f t="shared" si="5"/>
        <v>48</v>
      </c>
      <c r="Q24" s="108">
        <f t="shared" si="6"/>
        <v>12</v>
      </c>
      <c r="R24" s="108">
        <f t="shared" si="7"/>
        <v>12</v>
      </c>
      <c r="S24" s="114">
        <f t="shared" si="8"/>
        <v>24</v>
      </c>
      <c r="T24" s="108">
        <f t="shared" si="9"/>
        <v>240</v>
      </c>
      <c r="U24" s="113">
        <f t="shared" si="10"/>
        <v>4</v>
      </c>
      <c r="V24" s="113">
        <f t="shared" si="10"/>
        <v>4</v>
      </c>
      <c r="W24" s="113">
        <f t="shared" si="10"/>
        <v>4</v>
      </c>
      <c r="X24" s="113">
        <f t="shared" si="10"/>
        <v>4</v>
      </c>
      <c r="Y24" s="109">
        <f t="shared" si="10"/>
        <v>4</v>
      </c>
      <c r="Z24" s="109">
        <f t="shared" si="10"/>
        <v>4</v>
      </c>
      <c r="AA24" s="1"/>
      <c r="AB24" s="1"/>
      <c r="AC24" s="1"/>
      <c r="AD24" s="1"/>
      <c r="AE24" s="1"/>
      <c r="AF24" s="1"/>
      <c r="AG24" s="1"/>
      <c r="AH24" s="110">
        <f t="shared" si="11"/>
        <v>-240</v>
      </c>
      <c r="AI24" s="110">
        <f t="shared" si="12"/>
        <v>-4</v>
      </c>
      <c r="AJ24" s="110">
        <f t="shared" si="13"/>
        <v>-4</v>
      </c>
      <c r="AK24" s="110">
        <f t="shared" si="14"/>
        <v>-4</v>
      </c>
      <c r="AL24" s="110">
        <f t="shared" si="15"/>
        <v>-4</v>
      </c>
      <c r="AM24" s="110">
        <f t="shared" si="16"/>
        <v>-4</v>
      </c>
      <c r="AN24" s="110">
        <f t="shared" si="17"/>
        <v>-4</v>
      </c>
    </row>
    <row r="25" spans="1:40" ht="15.75" hidden="1" thickBot="1" x14ac:dyDescent="0.25">
      <c r="A25" s="119">
        <v>22</v>
      </c>
      <c r="B25" s="120">
        <v>2</v>
      </c>
      <c r="C25" s="121" t="s">
        <v>108</v>
      </c>
      <c r="D25" s="119" t="s">
        <v>132</v>
      </c>
      <c r="E25" s="119" t="s">
        <v>161</v>
      </c>
      <c r="F25" s="119" t="s">
        <v>162</v>
      </c>
      <c r="G25" s="119" t="s">
        <v>143</v>
      </c>
      <c r="H25" s="20">
        <v>3376595</v>
      </c>
      <c r="I25" s="20" t="s">
        <v>113</v>
      </c>
      <c r="J25" s="20" t="s">
        <v>118</v>
      </c>
      <c r="K25" s="21" t="s">
        <v>115</v>
      </c>
      <c r="L25" s="112">
        <v>6</v>
      </c>
      <c r="M25" s="108">
        <f t="shared" si="2"/>
        <v>24</v>
      </c>
      <c r="N25" s="108">
        <f t="shared" si="3"/>
        <v>240</v>
      </c>
      <c r="O25" s="108">
        <f t="shared" si="4"/>
        <v>288</v>
      </c>
      <c r="P25" s="108">
        <f t="shared" si="5"/>
        <v>48</v>
      </c>
      <c r="Q25" s="108">
        <f t="shared" si="6"/>
        <v>12</v>
      </c>
      <c r="R25" s="108">
        <f t="shared" si="7"/>
        <v>12</v>
      </c>
      <c r="S25" s="114">
        <f t="shared" si="8"/>
        <v>24</v>
      </c>
      <c r="T25" s="108">
        <f t="shared" si="9"/>
        <v>240</v>
      </c>
      <c r="U25" s="113">
        <f t="shared" si="10"/>
        <v>4</v>
      </c>
      <c r="V25" s="113">
        <f t="shared" si="10"/>
        <v>4</v>
      </c>
      <c r="W25" s="113">
        <f t="shared" si="10"/>
        <v>4</v>
      </c>
      <c r="X25" s="113">
        <f t="shared" si="10"/>
        <v>4</v>
      </c>
      <c r="Y25" s="109">
        <f t="shared" si="10"/>
        <v>4</v>
      </c>
      <c r="Z25" s="109">
        <f t="shared" si="10"/>
        <v>4</v>
      </c>
      <c r="AA25" s="1"/>
      <c r="AB25" s="1"/>
      <c r="AC25" s="1"/>
      <c r="AD25" s="1"/>
      <c r="AE25" s="1"/>
      <c r="AF25" s="1"/>
      <c r="AG25" s="1"/>
      <c r="AH25" s="110">
        <f t="shared" si="11"/>
        <v>-240</v>
      </c>
      <c r="AI25" s="110">
        <f t="shared" si="12"/>
        <v>-4</v>
      </c>
      <c r="AJ25" s="110">
        <f t="shared" si="13"/>
        <v>-4</v>
      </c>
      <c r="AK25" s="110">
        <f t="shared" si="14"/>
        <v>-4</v>
      </c>
      <c r="AL25" s="110">
        <f t="shared" si="15"/>
        <v>-4</v>
      </c>
      <c r="AM25" s="110">
        <f t="shared" si="16"/>
        <v>-4</v>
      </c>
      <c r="AN25" s="110">
        <f t="shared" si="17"/>
        <v>-4</v>
      </c>
    </row>
    <row r="26" spans="1:40" ht="15.75" hidden="1" thickBot="1" x14ac:dyDescent="0.25">
      <c r="A26" s="119">
        <v>23</v>
      </c>
      <c r="B26" s="120">
        <v>2</v>
      </c>
      <c r="C26" s="121" t="s">
        <v>116</v>
      </c>
      <c r="D26" s="119" t="s">
        <v>132</v>
      </c>
      <c r="E26" s="119" t="s">
        <v>161</v>
      </c>
      <c r="F26" s="119" t="s">
        <v>162</v>
      </c>
      <c r="G26" s="119" t="s">
        <v>163</v>
      </c>
      <c r="H26" s="20">
        <v>5604013</v>
      </c>
      <c r="I26" s="20" t="s">
        <v>113</v>
      </c>
      <c r="J26" s="20" t="s">
        <v>118</v>
      </c>
      <c r="K26" s="21" t="s">
        <v>115</v>
      </c>
      <c r="L26" s="112">
        <v>6</v>
      </c>
      <c r="M26" s="108">
        <f t="shared" si="2"/>
        <v>24</v>
      </c>
      <c r="N26" s="108">
        <f t="shared" si="3"/>
        <v>240</v>
      </c>
      <c r="O26" s="108">
        <f t="shared" si="4"/>
        <v>288</v>
      </c>
      <c r="P26" s="108">
        <f t="shared" si="5"/>
        <v>48</v>
      </c>
      <c r="Q26" s="108">
        <f t="shared" si="6"/>
        <v>12</v>
      </c>
      <c r="R26" s="108">
        <f t="shared" si="7"/>
        <v>12</v>
      </c>
      <c r="S26" s="114">
        <f t="shared" si="8"/>
        <v>24</v>
      </c>
      <c r="T26" s="108">
        <f t="shared" si="9"/>
        <v>240</v>
      </c>
      <c r="U26" s="113">
        <f t="shared" si="10"/>
        <v>4</v>
      </c>
      <c r="V26" s="113">
        <f t="shared" si="10"/>
        <v>4</v>
      </c>
      <c r="W26" s="113">
        <f t="shared" si="10"/>
        <v>4</v>
      </c>
      <c r="X26" s="113">
        <f t="shared" si="10"/>
        <v>4</v>
      </c>
      <c r="Y26" s="109">
        <f t="shared" si="10"/>
        <v>4</v>
      </c>
      <c r="Z26" s="109">
        <f t="shared" si="10"/>
        <v>4</v>
      </c>
      <c r="AA26" s="1"/>
      <c r="AB26" s="1"/>
      <c r="AC26" s="1"/>
      <c r="AD26" s="1"/>
      <c r="AE26" s="1"/>
      <c r="AF26" s="1"/>
      <c r="AG26" s="1"/>
      <c r="AH26" s="110">
        <f t="shared" si="11"/>
        <v>-240</v>
      </c>
      <c r="AI26" s="110">
        <f t="shared" si="12"/>
        <v>-4</v>
      </c>
      <c r="AJ26" s="110">
        <f t="shared" si="13"/>
        <v>-4</v>
      </c>
      <c r="AK26" s="110">
        <f t="shared" si="14"/>
        <v>-4</v>
      </c>
      <c r="AL26" s="110">
        <f t="shared" si="15"/>
        <v>-4</v>
      </c>
      <c r="AM26" s="110">
        <f t="shared" si="16"/>
        <v>-4</v>
      </c>
      <c r="AN26" s="110">
        <f t="shared" si="17"/>
        <v>-4</v>
      </c>
    </row>
    <row r="27" spans="1:40" ht="15.75" hidden="1" thickBot="1" x14ac:dyDescent="0.25">
      <c r="A27" s="119">
        <v>24</v>
      </c>
      <c r="B27" s="120">
        <v>3</v>
      </c>
      <c r="C27" s="121" t="s">
        <v>108</v>
      </c>
      <c r="D27" s="119" t="s">
        <v>109</v>
      </c>
      <c r="E27" s="119" t="s">
        <v>164</v>
      </c>
      <c r="F27" s="119" t="s">
        <v>165</v>
      </c>
      <c r="G27" s="119" t="s">
        <v>136</v>
      </c>
      <c r="H27" s="20">
        <v>1725225</v>
      </c>
      <c r="I27" s="20" t="s">
        <v>113</v>
      </c>
      <c r="J27" s="20" t="s">
        <v>118</v>
      </c>
      <c r="K27" s="21" t="s">
        <v>122</v>
      </c>
      <c r="L27" s="112">
        <v>6</v>
      </c>
      <c r="M27" s="108">
        <f t="shared" si="2"/>
        <v>24</v>
      </c>
      <c r="N27" s="108">
        <f t="shared" si="3"/>
        <v>240</v>
      </c>
      <c r="O27" s="108">
        <f t="shared" si="4"/>
        <v>288</v>
      </c>
      <c r="P27" s="108">
        <f t="shared" si="5"/>
        <v>48</v>
      </c>
      <c r="Q27" s="108">
        <f t="shared" si="6"/>
        <v>12</v>
      </c>
      <c r="R27" s="108">
        <f t="shared" si="7"/>
        <v>12</v>
      </c>
      <c r="S27" s="114">
        <f t="shared" si="8"/>
        <v>24</v>
      </c>
      <c r="T27" s="108">
        <f t="shared" si="9"/>
        <v>240</v>
      </c>
      <c r="U27" s="113">
        <f t="shared" si="10"/>
        <v>4</v>
      </c>
      <c r="V27" s="113">
        <f t="shared" si="10"/>
        <v>4</v>
      </c>
      <c r="W27" s="113">
        <f t="shared" si="10"/>
        <v>4</v>
      </c>
      <c r="X27" s="113">
        <f t="shared" si="10"/>
        <v>4</v>
      </c>
      <c r="Y27" s="109">
        <f t="shared" si="10"/>
        <v>4</v>
      </c>
      <c r="Z27" s="109">
        <f t="shared" si="10"/>
        <v>4</v>
      </c>
      <c r="AA27" s="1"/>
      <c r="AB27" s="1"/>
      <c r="AC27" s="1"/>
      <c r="AD27" s="1"/>
      <c r="AE27" s="1"/>
      <c r="AF27" s="1"/>
      <c r="AG27" s="1"/>
      <c r="AH27" s="110">
        <f t="shared" si="11"/>
        <v>-240</v>
      </c>
      <c r="AI27" s="110">
        <f t="shared" si="12"/>
        <v>-4</v>
      </c>
      <c r="AJ27" s="110">
        <f t="shared" si="13"/>
        <v>-4</v>
      </c>
      <c r="AK27" s="110">
        <f t="shared" si="14"/>
        <v>-4</v>
      </c>
      <c r="AL27" s="110">
        <f t="shared" si="15"/>
        <v>-4</v>
      </c>
      <c r="AM27" s="110">
        <f t="shared" si="16"/>
        <v>-4</v>
      </c>
      <c r="AN27" s="110">
        <f t="shared" si="17"/>
        <v>-4</v>
      </c>
    </row>
    <row r="28" spans="1:40" ht="15.75" hidden="1" thickBot="1" x14ac:dyDescent="0.25">
      <c r="A28" s="119">
        <v>25</v>
      </c>
      <c r="B28" s="120">
        <v>3</v>
      </c>
      <c r="C28" s="121" t="s">
        <v>108</v>
      </c>
      <c r="D28" s="119" t="s">
        <v>109</v>
      </c>
      <c r="E28" s="119" t="s">
        <v>166</v>
      </c>
      <c r="F28" s="119" t="s">
        <v>167</v>
      </c>
      <c r="G28" s="119" t="s">
        <v>168</v>
      </c>
      <c r="H28" s="20">
        <v>1733152</v>
      </c>
      <c r="I28" s="20" t="s">
        <v>113</v>
      </c>
      <c r="J28" s="20" t="s">
        <v>114</v>
      </c>
      <c r="K28" s="21" t="s">
        <v>115</v>
      </c>
      <c r="L28" s="112">
        <v>6</v>
      </c>
      <c r="M28" s="108">
        <f t="shared" si="2"/>
        <v>24</v>
      </c>
      <c r="N28" s="108">
        <f t="shared" si="3"/>
        <v>240</v>
      </c>
      <c r="O28" s="108">
        <f t="shared" si="4"/>
        <v>288</v>
      </c>
      <c r="P28" s="108">
        <f t="shared" si="5"/>
        <v>48</v>
      </c>
      <c r="Q28" s="108">
        <f t="shared" si="6"/>
        <v>12</v>
      </c>
      <c r="R28" s="108">
        <f t="shared" si="7"/>
        <v>12</v>
      </c>
      <c r="S28" s="114">
        <f t="shared" si="8"/>
        <v>24</v>
      </c>
      <c r="T28" s="108">
        <f t="shared" si="9"/>
        <v>240</v>
      </c>
      <c r="U28" s="113">
        <f t="shared" si="10"/>
        <v>4</v>
      </c>
      <c r="V28" s="113">
        <f t="shared" si="10"/>
        <v>4</v>
      </c>
      <c r="W28" s="113">
        <f t="shared" si="10"/>
        <v>4</v>
      </c>
      <c r="X28" s="113">
        <f t="shared" si="10"/>
        <v>4</v>
      </c>
      <c r="Y28" s="109">
        <f t="shared" si="10"/>
        <v>4</v>
      </c>
      <c r="Z28" s="109">
        <f t="shared" si="10"/>
        <v>4</v>
      </c>
      <c r="AA28" s="1"/>
      <c r="AB28" s="1"/>
      <c r="AC28" s="1"/>
      <c r="AD28" s="1"/>
      <c r="AE28" s="1"/>
      <c r="AF28" s="1"/>
      <c r="AG28" s="1"/>
      <c r="AH28" s="110">
        <f t="shared" si="11"/>
        <v>-240</v>
      </c>
      <c r="AI28" s="110">
        <f t="shared" si="12"/>
        <v>-4</v>
      </c>
      <c r="AJ28" s="110">
        <f t="shared" si="13"/>
        <v>-4</v>
      </c>
      <c r="AK28" s="110">
        <f t="shared" si="14"/>
        <v>-4</v>
      </c>
      <c r="AL28" s="110">
        <f t="shared" si="15"/>
        <v>-4</v>
      </c>
      <c r="AM28" s="110">
        <f t="shared" si="16"/>
        <v>-4</v>
      </c>
      <c r="AN28" s="110">
        <f t="shared" si="17"/>
        <v>-4</v>
      </c>
    </row>
    <row r="29" spans="1:40" ht="15.75" hidden="1" thickBot="1" x14ac:dyDescent="0.25">
      <c r="A29" s="119">
        <v>26</v>
      </c>
      <c r="B29" s="121">
        <v>3</v>
      </c>
      <c r="C29" s="122" t="s">
        <v>116</v>
      </c>
      <c r="D29" s="119" t="s">
        <v>109</v>
      </c>
      <c r="E29" s="119" t="s">
        <v>166</v>
      </c>
      <c r="F29" s="119" t="s">
        <v>167</v>
      </c>
      <c r="G29" s="119" t="s">
        <v>169</v>
      </c>
      <c r="H29" s="20">
        <v>676041</v>
      </c>
      <c r="I29" s="20" t="s">
        <v>113</v>
      </c>
      <c r="J29" s="20" t="s">
        <v>118</v>
      </c>
      <c r="K29" s="21" t="s">
        <v>122</v>
      </c>
      <c r="L29" s="112">
        <v>6</v>
      </c>
      <c r="M29" s="108">
        <f t="shared" si="2"/>
        <v>24</v>
      </c>
      <c r="N29" s="108">
        <f t="shared" si="3"/>
        <v>240</v>
      </c>
      <c r="O29" s="108">
        <f t="shared" si="4"/>
        <v>288</v>
      </c>
      <c r="P29" s="108">
        <f t="shared" si="5"/>
        <v>48</v>
      </c>
      <c r="Q29" s="108">
        <f t="shared" si="6"/>
        <v>12</v>
      </c>
      <c r="R29" s="108">
        <f t="shared" si="7"/>
        <v>12</v>
      </c>
      <c r="S29" s="114">
        <f t="shared" si="8"/>
        <v>24</v>
      </c>
      <c r="T29" s="108">
        <f t="shared" si="9"/>
        <v>240</v>
      </c>
      <c r="U29" s="113">
        <f t="shared" si="10"/>
        <v>4</v>
      </c>
      <c r="V29" s="113">
        <f t="shared" si="10"/>
        <v>4</v>
      </c>
      <c r="W29" s="113">
        <f t="shared" si="10"/>
        <v>4</v>
      </c>
      <c r="X29" s="113">
        <f t="shared" si="10"/>
        <v>4</v>
      </c>
      <c r="Y29" s="109">
        <f t="shared" si="10"/>
        <v>4</v>
      </c>
      <c r="Z29" s="109">
        <f t="shared" si="10"/>
        <v>4</v>
      </c>
      <c r="AA29" s="1"/>
      <c r="AB29" s="1"/>
      <c r="AC29" s="1"/>
      <c r="AD29" s="1"/>
      <c r="AE29" s="1"/>
      <c r="AF29" s="1"/>
      <c r="AG29" s="1"/>
      <c r="AH29" s="110">
        <f t="shared" si="11"/>
        <v>-240</v>
      </c>
      <c r="AI29" s="110">
        <f t="shared" si="12"/>
        <v>-4</v>
      </c>
      <c r="AJ29" s="110">
        <f t="shared" si="13"/>
        <v>-4</v>
      </c>
      <c r="AK29" s="110">
        <f t="shared" si="14"/>
        <v>-4</v>
      </c>
      <c r="AL29" s="110">
        <f t="shared" si="15"/>
        <v>-4</v>
      </c>
      <c r="AM29" s="110">
        <f t="shared" si="16"/>
        <v>-4</v>
      </c>
      <c r="AN29" s="110">
        <f t="shared" si="17"/>
        <v>-4</v>
      </c>
    </row>
    <row r="30" spans="1:40" ht="15.75" hidden="1" thickBot="1" x14ac:dyDescent="0.25">
      <c r="A30" s="119">
        <v>27</v>
      </c>
      <c r="B30" s="121">
        <v>3</v>
      </c>
      <c r="C30" s="122" t="s">
        <v>108</v>
      </c>
      <c r="D30" s="119" t="s">
        <v>0</v>
      </c>
      <c r="E30" s="119" t="s">
        <v>170</v>
      </c>
      <c r="F30" s="119" t="s">
        <v>171</v>
      </c>
      <c r="G30" s="119" t="s">
        <v>172</v>
      </c>
      <c r="H30" s="20">
        <v>3652181</v>
      </c>
      <c r="I30" s="20" t="s">
        <v>113</v>
      </c>
      <c r="J30" s="20" t="s">
        <v>114</v>
      </c>
      <c r="K30" s="21" t="s">
        <v>115</v>
      </c>
      <c r="L30" s="112">
        <v>6</v>
      </c>
      <c r="M30" s="108">
        <f t="shared" si="2"/>
        <v>24</v>
      </c>
      <c r="N30" s="108">
        <f t="shared" si="3"/>
        <v>240</v>
      </c>
      <c r="O30" s="108">
        <f t="shared" si="4"/>
        <v>288</v>
      </c>
      <c r="P30" s="108">
        <f t="shared" si="5"/>
        <v>48</v>
      </c>
      <c r="Q30" s="108">
        <f t="shared" si="6"/>
        <v>12</v>
      </c>
      <c r="R30" s="108">
        <f t="shared" si="7"/>
        <v>12</v>
      </c>
      <c r="S30" s="114">
        <f t="shared" si="8"/>
        <v>24</v>
      </c>
      <c r="T30" s="108">
        <f t="shared" si="9"/>
        <v>240</v>
      </c>
      <c r="U30" s="113">
        <f t="shared" si="10"/>
        <v>4</v>
      </c>
      <c r="V30" s="113">
        <f t="shared" si="10"/>
        <v>4</v>
      </c>
      <c r="W30" s="113">
        <f t="shared" si="10"/>
        <v>4</v>
      </c>
      <c r="X30" s="113">
        <f t="shared" si="10"/>
        <v>4</v>
      </c>
      <c r="Y30" s="109">
        <f t="shared" si="10"/>
        <v>4</v>
      </c>
      <c r="Z30" s="109">
        <f t="shared" si="10"/>
        <v>4</v>
      </c>
      <c r="AA30" s="1"/>
      <c r="AB30" s="1"/>
      <c r="AC30" s="1"/>
      <c r="AD30" s="1"/>
      <c r="AE30" s="1"/>
      <c r="AF30" s="1"/>
      <c r="AG30" s="1"/>
      <c r="AH30" s="110">
        <f t="shared" si="11"/>
        <v>-240</v>
      </c>
      <c r="AI30" s="110">
        <f t="shared" si="12"/>
        <v>-4</v>
      </c>
      <c r="AJ30" s="110">
        <f t="shared" si="13"/>
        <v>-4</v>
      </c>
      <c r="AK30" s="110">
        <f t="shared" si="14"/>
        <v>-4</v>
      </c>
      <c r="AL30" s="110">
        <f t="shared" si="15"/>
        <v>-4</v>
      </c>
      <c r="AM30" s="110">
        <f t="shared" si="16"/>
        <v>-4</v>
      </c>
      <c r="AN30" s="110">
        <f t="shared" si="17"/>
        <v>-4</v>
      </c>
    </row>
    <row r="31" spans="1:40" ht="15.75" hidden="1" thickBot="1" x14ac:dyDescent="0.25">
      <c r="A31" s="119">
        <v>28</v>
      </c>
      <c r="B31" s="121">
        <v>3</v>
      </c>
      <c r="C31" s="122" t="s">
        <v>108</v>
      </c>
      <c r="D31" s="119" t="s">
        <v>0</v>
      </c>
      <c r="E31" s="119" t="s">
        <v>164</v>
      </c>
      <c r="F31" s="119" t="s">
        <v>173</v>
      </c>
      <c r="G31" s="119" t="s">
        <v>174</v>
      </c>
      <c r="H31" s="20">
        <v>1939375</v>
      </c>
      <c r="I31" s="20" t="s">
        <v>113</v>
      </c>
      <c r="J31" s="20" t="s">
        <v>114</v>
      </c>
      <c r="K31" s="21" t="s">
        <v>122</v>
      </c>
      <c r="L31" s="112">
        <v>6</v>
      </c>
      <c r="M31" s="108">
        <f t="shared" si="2"/>
        <v>24</v>
      </c>
      <c r="N31" s="108">
        <f t="shared" si="3"/>
        <v>240</v>
      </c>
      <c r="O31" s="108">
        <f t="shared" si="4"/>
        <v>288</v>
      </c>
      <c r="P31" s="108">
        <f t="shared" si="5"/>
        <v>48</v>
      </c>
      <c r="Q31" s="108">
        <f t="shared" si="6"/>
        <v>12</v>
      </c>
      <c r="R31" s="108">
        <f t="shared" si="7"/>
        <v>12</v>
      </c>
      <c r="S31" s="114">
        <f t="shared" si="8"/>
        <v>24</v>
      </c>
      <c r="T31" s="108">
        <f t="shared" si="9"/>
        <v>240</v>
      </c>
      <c r="U31" s="113">
        <f t="shared" si="10"/>
        <v>4</v>
      </c>
      <c r="V31" s="113">
        <f t="shared" si="10"/>
        <v>4</v>
      </c>
      <c r="W31" s="113">
        <f t="shared" si="10"/>
        <v>4</v>
      </c>
      <c r="X31" s="113">
        <f t="shared" si="10"/>
        <v>4</v>
      </c>
      <c r="Y31" s="109">
        <f t="shared" si="10"/>
        <v>4</v>
      </c>
      <c r="Z31" s="109">
        <f t="shared" si="10"/>
        <v>4</v>
      </c>
      <c r="AA31" s="1"/>
      <c r="AB31" s="1"/>
      <c r="AC31" s="1"/>
      <c r="AD31" s="1"/>
      <c r="AE31" s="1"/>
      <c r="AF31" s="1"/>
      <c r="AG31" s="1"/>
      <c r="AH31" s="110">
        <f t="shared" si="11"/>
        <v>-240</v>
      </c>
      <c r="AI31" s="110">
        <f t="shared" si="12"/>
        <v>-4</v>
      </c>
      <c r="AJ31" s="110">
        <f t="shared" si="13"/>
        <v>-4</v>
      </c>
      <c r="AK31" s="110">
        <f t="shared" si="14"/>
        <v>-4</v>
      </c>
      <c r="AL31" s="110">
        <f t="shared" si="15"/>
        <v>-4</v>
      </c>
      <c r="AM31" s="110">
        <f t="shared" si="16"/>
        <v>-4</v>
      </c>
      <c r="AN31" s="110">
        <f t="shared" si="17"/>
        <v>-4</v>
      </c>
    </row>
    <row r="32" spans="1:40" ht="15.75" hidden="1" thickBot="1" x14ac:dyDescent="0.25">
      <c r="A32" s="119">
        <v>29</v>
      </c>
      <c r="B32" s="121">
        <v>3</v>
      </c>
      <c r="C32" s="122" t="s">
        <v>108</v>
      </c>
      <c r="D32" s="119" t="s">
        <v>0</v>
      </c>
      <c r="E32" s="119" t="s">
        <v>175</v>
      </c>
      <c r="F32" s="119" t="s">
        <v>176</v>
      </c>
      <c r="G32" s="119" t="s">
        <v>177</v>
      </c>
      <c r="H32" s="20">
        <v>4192262</v>
      </c>
      <c r="I32" s="20" t="s">
        <v>113</v>
      </c>
      <c r="J32" s="20" t="s">
        <v>118</v>
      </c>
      <c r="K32" s="21" t="s">
        <v>122</v>
      </c>
      <c r="L32" s="112">
        <v>6</v>
      </c>
      <c r="M32" s="108">
        <f t="shared" si="2"/>
        <v>24</v>
      </c>
      <c r="N32" s="108">
        <f t="shared" si="3"/>
        <v>240</v>
      </c>
      <c r="O32" s="108">
        <f t="shared" si="4"/>
        <v>288</v>
      </c>
      <c r="P32" s="108">
        <f t="shared" si="5"/>
        <v>48</v>
      </c>
      <c r="Q32" s="108">
        <f t="shared" si="6"/>
        <v>12</v>
      </c>
      <c r="R32" s="108">
        <f t="shared" si="7"/>
        <v>12</v>
      </c>
      <c r="S32" s="114">
        <f t="shared" si="8"/>
        <v>24</v>
      </c>
      <c r="T32" s="108">
        <f t="shared" si="9"/>
        <v>240</v>
      </c>
      <c r="U32" s="113">
        <f t="shared" si="10"/>
        <v>4</v>
      </c>
      <c r="V32" s="113">
        <f t="shared" si="10"/>
        <v>4</v>
      </c>
      <c r="W32" s="113">
        <f t="shared" si="10"/>
        <v>4</v>
      </c>
      <c r="X32" s="113">
        <f t="shared" si="10"/>
        <v>4</v>
      </c>
      <c r="Y32" s="109">
        <f t="shared" si="10"/>
        <v>4</v>
      </c>
      <c r="Z32" s="109">
        <f t="shared" si="10"/>
        <v>4</v>
      </c>
      <c r="AA32" s="1"/>
      <c r="AB32" s="1"/>
      <c r="AC32" s="1"/>
      <c r="AD32" s="1"/>
      <c r="AE32" s="1"/>
      <c r="AF32" s="1"/>
      <c r="AG32" s="1"/>
      <c r="AH32" s="110">
        <f t="shared" si="11"/>
        <v>-240</v>
      </c>
      <c r="AI32" s="110">
        <f t="shared" si="12"/>
        <v>-4</v>
      </c>
      <c r="AJ32" s="110">
        <f t="shared" si="13"/>
        <v>-4</v>
      </c>
      <c r="AK32" s="110">
        <f t="shared" si="14"/>
        <v>-4</v>
      </c>
      <c r="AL32" s="110">
        <f t="shared" si="15"/>
        <v>-4</v>
      </c>
      <c r="AM32" s="110">
        <f t="shared" si="16"/>
        <v>-4</v>
      </c>
      <c r="AN32" s="110">
        <f t="shared" si="17"/>
        <v>-4</v>
      </c>
    </row>
    <row r="33" spans="1:40" ht="15.75" hidden="1" thickBot="1" x14ac:dyDescent="0.25">
      <c r="A33" s="119">
        <v>30</v>
      </c>
      <c r="B33" s="121">
        <v>3</v>
      </c>
      <c r="C33" s="122" t="s">
        <v>108</v>
      </c>
      <c r="D33" s="119" t="s">
        <v>0</v>
      </c>
      <c r="E33" s="119" t="s">
        <v>178</v>
      </c>
      <c r="F33" s="119" t="s">
        <v>179</v>
      </c>
      <c r="G33" s="119" t="s">
        <v>180</v>
      </c>
      <c r="H33" s="20">
        <v>7630037</v>
      </c>
      <c r="I33" s="20" t="s">
        <v>113</v>
      </c>
      <c r="J33" s="20" t="s">
        <v>118</v>
      </c>
      <c r="K33" s="21" t="s">
        <v>115</v>
      </c>
      <c r="L33" s="112">
        <v>6</v>
      </c>
      <c r="M33" s="108">
        <f t="shared" si="2"/>
        <v>24</v>
      </c>
      <c r="N33" s="108">
        <f t="shared" si="3"/>
        <v>240</v>
      </c>
      <c r="O33" s="108">
        <f t="shared" si="4"/>
        <v>288</v>
      </c>
      <c r="P33" s="108">
        <f t="shared" si="5"/>
        <v>48</v>
      </c>
      <c r="Q33" s="108">
        <f t="shared" si="6"/>
        <v>12</v>
      </c>
      <c r="R33" s="108">
        <f t="shared" si="7"/>
        <v>12</v>
      </c>
      <c r="S33" s="114">
        <f t="shared" si="8"/>
        <v>24</v>
      </c>
      <c r="T33" s="108">
        <f t="shared" si="9"/>
        <v>240</v>
      </c>
      <c r="U33" s="113">
        <f t="shared" si="10"/>
        <v>4</v>
      </c>
      <c r="V33" s="113">
        <f t="shared" si="10"/>
        <v>4</v>
      </c>
      <c r="W33" s="113">
        <f t="shared" si="10"/>
        <v>4</v>
      </c>
      <c r="X33" s="113">
        <f t="shared" si="10"/>
        <v>4</v>
      </c>
      <c r="Y33" s="109">
        <f t="shared" si="10"/>
        <v>4</v>
      </c>
      <c r="Z33" s="109">
        <f t="shared" si="10"/>
        <v>4</v>
      </c>
      <c r="AA33" s="1"/>
      <c r="AB33" s="1"/>
      <c r="AC33" s="1"/>
      <c r="AD33" s="1"/>
      <c r="AE33" s="1"/>
      <c r="AF33" s="1"/>
      <c r="AG33" s="1"/>
      <c r="AH33" s="110">
        <f t="shared" si="11"/>
        <v>-240</v>
      </c>
      <c r="AI33" s="110">
        <f t="shared" si="12"/>
        <v>-4</v>
      </c>
      <c r="AJ33" s="110">
        <f t="shared" si="13"/>
        <v>-4</v>
      </c>
      <c r="AK33" s="110">
        <f t="shared" si="14"/>
        <v>-4</v>
      </c>
      <c r="AL33" s="110">
        <f t="shared" si="15"/>
        <v>-4</v>
      </c>
      <c r="AM33" s="110">
        <f t="shared" si="16"/>
        <v>-4</v>
      </c>
      <c r="AN33" s="110">
        <f t="shared" si="17"/>
        <v>-4</v>
      </c>
    </row>
    <row r="34" spans="1:40" ht="15.75" hidden="1" thickBot="1" x14ac:dyDescent="0.25">
      <c r="A34" s="119">
        <v>31</v>
      </c>
      <c r="B34" s="121">
        <v>4</v>
      </c>
      <c r="C34" s="122" t="s">
        <v>108</v>
      </c>
      <c r="D34" s="119" t="s">
        <v>109</v>
      </c>
      <c r="E34" s="119" t="s">
        <v>181</v>
      </c>
      <c r="F34" s="119" t="s">
        <v>182</v>
      </c>
      <c r="G34" s="119" t="s">
        <v>112</v>
      </c>
      <c r="H34" s="20">
        <v>1932671</v>
      </c>
      <c r="I34" s="20" t="s">
        <v>113</v>
      </c>
      <c r="J34" s="20" t="s">
        <v>114</v>
      </c>
      <c r="K34" s="21" t="s">
        <v>115</v>
      </c>
      <c r="L34" s="112">
        <v>6</v>
      </c>
      <c r="M34" s="108">
        <f t="shared" si="2"/>
        <v>24</v>
      </c>
      <c r="N34" s="108">
        <f t="shared" si="3"/>
        <v>240</v>
      </c>
      <c r="O34" s="108">
        <f t="shared" si="4"/>
        <v>288</v>
      </c>
      <c r="P34" s="108">
        <f t="shared" si="5"/>
        <v>48</v>
      </c>
      <c r="Q34" s="108">
        <f t="shared" si="6"/>
        <v>12</v>
      </c>
      <c r="R34" s="108">
        <f t="shared" si="7"/>
        <v>12</v>
      </c>
      <c r="S34" s="114">
        <f t="shared" si="8"/>
        <v>24</v>
      </c>
      <c r="T34" s="108">
        <f t="shared" si="9"/>
        <v>240</v>
      </c>
      <c r="U34" s="113">
        <f t="shared" si="10"/>
        <v>4</v>
      </c>
      <c r="V34" s="113">
        <f t="shared" si="10"/>
        <v>4</v>
      </c>
      <c r="W34" s="113">
        <f t="shared" si="10"/>
        <v>4</v>
      </c>
      <c r="X34" s="113">
        <f t="shared" si="10"/>
        <v>4</v>
      </c>
      <c r="Y34" s="109">
        <f t="shared" si="10"/>
        <v>4</v>
      </c>
      <c r="Z34" s="109">
        <f t="shared" si="10"/>
        <v>4</v>
      </c>
      <c r="AA34" s="1"/>
      <c r="AB34" s="1"/>
      <c r="AC34" s="1"/>
      <c r="AD34" s="1"/>
      <c r="AE34" s="1"/>
      <c r="AF34" s="1"/>
      <c r="AG34" s="1"/>
      <c r="AH34" s="110">
        <f t="shared" si="11"/>
        <v>-240</v>
      </c>
      <c r="AI34" s="110">
        <f t="shared" si="12"/>
        <v>-4</v>
      </c>
      <c r="AJ34" s="110">
        <f t="shared" si="13"/>
        <v>-4</v>
      </c>
      <c r="AK34" s="110">
        <f t="shared" si="14"/>
        <v>-4</v>
      </c>
      <c r="AL34" s="110">
        <f t="shared" si="15"/>
        <v>-4</v>
      </c>
      <c r="AM34" s="110">
        <f t="shared" si="16"/>
        <v>-4</v>
      </c>
      <c r="AN34" s="110">
        <f t="shared" si="17"/>
        <v>-4</v>
      </c>
    </row>
    <row r="35" spans="1:40" ht="15.75" hidden="1" thickBot="1" x14ac:dyDescent="0.25">
      <c r="A35" s="119">
        <v>32</v>
      </c>
      <c r="B35" s="121">
        <v>4</v>
      </c>
      <c r="C35" s="122" t="s">
        <v>108</v>
      </c>
      <c r="D35" s="119" t="s">
        <v>0</v>
      </c>
      <c r="E35" s="119" t="s">
        <v>183</v>
      </c>
      <c r="F35" s="119" t="s">
        <v>184</v>
      </c>
      <c r="G35" s="119" t="s">
        <v>185</v>
      </c>
      <c r="H35" s="20">
        <v>2556157</v>
      </c>
      <c r="I35" s="20" t="s">
        <v>113</v>
      </c>
      <c r="J35" s="20" t="s">
        <v>114</v>
      </c>
      <c r="K35" s="21" t="s">
        <v>122</v>
      </c>
      <c r="L35" s="112">
        <v>6</v>
      </c>
      <c r="M35" s="108">
        <f t="shared" si="2"/>
        <v>24</v>
      </c>
      <c r="N35" s="108">
        <f t="shared" si="3"/>
        <v>240</v>
      </c>
      <c r="O35" s="108">
        <f t="shared" si="4"/>
        <v>288</v>
      </c>
      <c r="P35" s="108">
        <f t="shared" si="5"/>
        <v>48</v>
      </c>
      <c r="Q35" s="108">
        <f t="shared" si="6"/>
        <v>12</v>
      </c>
      <c r="R35" s="108">
        <f t="shared" si="7"/>
        <v>12</v>
      </c>
      <c r="S35" s="114">
        <f t="shared" si="8"/>
        <v>24</v>
      </c>
      <c r="T35" s="108">
        <f t="shared" si="9"/>
        <v>240</v>
      </c>
      <c r="U35" s="113">
        <f t="shared" si="10"/>
        <v>4</v>
      </c>
      <c r="V35" s="113">
        <f t="shared" si="10"/>
        <v>4</v>
      </c>
      <c r="W35" s="113">
        <f t="shared" si="10"/>
        <v>4</v>
      </c>
      <c r="X35" s="113">
        <f t="shared" si="10"/>
        <v>4</v>
      </c>
      <c r="Y35" s="109">
        <f t="shared" si="10"/>
        <v>4</v>
      </c>
      <c r="Z35" s="109">
        <f t="shared" si="10"/>
        <v>4</v>
      </c>
      <c r="AA35" s="1"/>
      <c r="AB35" s="1"/>
      <c r="AC35" s="1"/>
      <c r="AD35" s="1"/>
      <c r="AE35" s="1"/>
      <c r="AF35" s="1"/>
      <c r="AG35" s="1"/>
      <c r="AH35" s="110">
        <f t="shared" si="11"/>
        <v>-240</v>
      </c>
      <c r="AI35" s="110">
        <f t="shared" si="12"/>
        <v>-4</v>
      </c>
      <c r="AJ35" s="110">
        <f t="shared" si="13"/>
        <v>-4</v>
      </c>
      <c r="AK35" s="110">
        <f t="shared" si="14"/>
        <v>-4</v>
      </c>
      <c r="AL35" s="110">
        <f t="shared" si="15"/>
        <v>-4</v>
      </c>
      <c r="AM35" s="110">
        <f t="shared" si="16"/>
        <v>-4</v>
      </c>
      <c r="AN35" s="110">
        <f t="shared" si="17"/>
        <v>-4</v>
      </c>
    </row>
    <row r="36" spans="1:40" ht="15.75" hidden="1" thickBot="1" x14ac:dyDescent="0.25">
      <c r="A36" s="119">
        <v>33</v>
      </c>
      <c r="B36" s="121">
        <v>4</v>
      </c>
      <c r="C36" s="122" t="s">
        <v>108</v>
      </c>
      <c r="D36" s="119" t="s">
        <v>132</v>
      </c>
      <c r="E36" s="119" t="s">
        <v>186</v>
      </c>
      <c r="F36" s="119" t="s">
        <v>187</v>
      </c>
      <c r="G36" s="119" t="s">
        <v>188</v>
      </c>
      <c r="H36" s="20">
        <v>3453194</v>
      </c>
      <c r="I36" s="20" t="s">
        <v>113</v>
      </c>
      <c r="J36" s="20" t="s">
        <v>118</v>
      </c>
      <c r="K36" s="21" t="s">
        <v>122</v>
      </c>
      <c r="L36" s="112">
        <v>6</v>
      </c>
      <c r="M36" s="108">
        <f t="shared" si="2"/>
        <v>24</v>
      </c>
      <c r="N36" s="108">
        <f t="shared" si="3"/>
        <v>240</v>
      </c>
      <c r="O36" s="108">
        <f t="shared" si="4"/>
        <v>288</v>
      </c>
      <c r="P36" s="108">
        <f t="shared" si="5"/>
        <v>48</v>
      </c>
      <c r="Q36" s="108">
        <f t="shared" si="6"/>
        <v>12</v>
      </c>
      <c r="R36" s="108">
        <f t="shared" si="7"/>
        <v>12</v>
      </c>
      <c r="S36" s="114">
        <f t="shared" si="8"/>
        <v>24</v>
      </c>
      <c r="T36" s="108">
        <f t="shared" si="9"/>
        <v>240</v>
      </c>
      <c r="U36" s="113">
        <f t="shared" si="10"/>
        <v>4</v>
      </c>
      <c r="V36" s="113">
        <f t="shared" si="10"/>
        <v>4</v>
      </c>
      <c r="W36" s="113">
        <f t="shared" si="10"/>
        <v>4</v>
      </c>
      <c r="X36" s="113">
        <f t="shared" si="10"/>
        <v>4</v>
      </c>
      <c r="Y36" s="109">
        <f t="shared" si="10"/>
        <v>4</v>
      </c>
      <c r="Z36" s="109">
        <f t="shared" si="10"/>
        <v>4</v>
      </c>
      <c r="AA36" s="1"/>
      <c r="AB36" s="1"/>
      <c r="AC36" s="1"/>
      <c r="AD36" s="1"/>
      <c r="AE36" s="1"/>
      <c r="AF36" s="1"/>
      <c r="AG36" s="1"/>
      <c r="AH36" s="110">
        <f t="shared" si="11"/>
        <v>-240</v>
      </c>
      <c r="AI36" s="110">
        <f t="shared" si="12"/>
        <v>-4</v>
      </c>
      <c r="AJ36" s="110">
        <f t="shared" si="13"/>
        <v>-4</v>
      </c>
      <c r="AK36" s="110">
        <f t="shared" si="14"/>
        <v>-4</v>
      </c>
      <c r="AL36" s="110">
        <f t="shared" si="15"/>
        <v>-4</v>
      </c>
      <c r="AM36" s="110">
        <f t="shared" si="16"/>
        <v>-4</v>
      </c>
      <c r="AN36" s="110">
        <f t="shared" si="17"/>
        <v>-4</v>
      </c>
    </row>
    <row r="37" spans="1:40" ht="15.75" hidden="1" thickBot="1" x14ac:dyDescent="0.25">
      <c r="A37" s="119">
        <v>34</v>
      </c>
      <c r="B37" s="121">
        <v>4</v>
      </c>
      <c r="C37" s="122" t="s">
        <v>108</v>
      </c>
      <c r="D37" s="119" t="s">
        <v>0</v>
      </c>
      <c r="E37" s="119" t="s">
        <v>189</v>
      </c>
      <c r="F37" s="119" t="s">
        <v>190</v>
      </c>
      <c r="G37" s="119" t="s">
        <v>147</v>
      </c>
      <c r="H37" s="20">
        <v>6695335</v>
      </c>
      <c r="I37" s="20" t="s">
        <v>113</v>
      </c>
      <c r="J37" s="20" t="s">
        <v>118</v>
      </c>
      <c r="K37" s="21" t="s">
        <v>115</v>
      </c>
      <c r="L37" s="112">
        <v>6</v>
      </c>
      <c r="M37" s="108">
        <f t="shared" si="2"/>
        <v>24</v>
      </c>
      <c r="N37" s="108">
        <f t="shared" si="3"/>
        <v>240</v>
      </c>
      <c r="O37" s="108">
        <f t="shared" si="4"/>
        <v>288</v>
      </c>
      <c r="P37" s="108">
        <f t="shared" si="5"/>
        <v>48</v>
      </c>
      <c r="Q37" s="108">
        <f t="shared" si="6"/>
        <v>12</v>
      </c>
      <c r="R37" s="108">
        <f t="shared" si="7"/>
        <v>12</v>
      </c>
      <c r="S37" s="114">
        <f t="shared" si="8"/>
        <v>24</v>
      </c>
      <c r="T37" s="108">
        <f t="shared" si="9"/>
        <v>240</v>
      </c>
      <c r="U37" s="113">
        <f t="shared" ref="U37:Z75" si="18">$S37/6</f>
        <v>4</v>
      </c>
      <c r="V37" s="113">
        <f t="shared" si="18"/>
        <v>4</v>
      </c>
      <c r="W37" s="113">
        <f t="shared" si="18"/>
        <v>4</v>
      </c>
      <c r="X37" s="113">
        <f t="shared" si="18"/>
        <v>4</v>
      </c>
      <c r="Y37" s="109">
        <f t="shared" si="18"/>
        <v>4</v>
      </c>
      <c r="Z37" s="109">
        <f t="shared" si="18"/>
        <v>4</v>
      </c>
      <c r="AA37" s="1"/>
      <c r="AB37" s="1"/>
      <c r="AC37" s="1"/>
      <c r="AD37" s="1"/>
      <c r="AE37" s="1"/>
      <c r="AF37" s="1"/>
      <c r="AG37" s="1"/>
      <c r="AH37" s="110">
        <f t="shared" si="11"/>
        <v>-240</v>
      </c>
      <c r="AI37" s="110">
        <f t="shared" si="12"/>
        <v>-4</v>
      </c>
      <c r="AJ37" s="110">
        <f t="shared" si="13"/>
        <v>-4</v>
      </c>
      <c r="AK37" s="110">
        <f t="shared" si="14"/>
        <v>-4</v>
      </c>
      <c r="AL37" s="110">
        <f t="shared" si="15"/>
        <v>-4</v>
      </c>
      <c r="AM37" s="110">
        <f t="shared" si="16"/>
        <v>-4</v>
      </c>
      <c r="AN37" s="110">
        <f t="shared" si="17"/>
        <v>-4</v>
      </c>
    </row>
    <row r="38" spans="1:40" ht="15.75" hidden="1" thickBot="1" x14ac:dyDescent="0.25">
      <c r="A38" s="119">
        <v>35</v>
      </c>
      <c r="B38" s="121">
        <v>4</v>
      </c>
      <c r="C38" s="122" t="s">
        <v>108</v>
      </c>
      <c r="D38" s="119" t="s">
        <v>0</v>
      </c>
      <c r="E38" s="119" t="s">
        <v>191</v>
      </c>
      <c r="F38" s="119" t="s">
        <v>192</v>
      </c>
      <c r="G38" s="119" t="s">
        <v>172</v>
      </c>
      <c r="H38" s="20">
        <v>3652181</v>
      </c>
      <c r="I38" s="20" t="s">
        <v>113</v>
      </c>
      <c r="J38" s="20" t="s">
        <v>114</v>
      </c>
      <c r="K38" s="105" t="s">
        <v>115</v>
      </c>
      <c r="L38" s="112">
        <v>6</v>
      </c>
      <c r="M38" s="108">
        <f t="shared" si="2"/>
        <v>24</v>
      </c>
      <c r="N38" s="108">
        <f t="shared" si="3"/>
        <v>240</v>
      </c>
      <c r="O38" s="108">
        <f t="shared" si="4"/>
        <v>288</v>
      </c>
      <c r="P38" s="108">
        <f t="shared" si="5"/>
        <v>48</v>
      </c>
      <c r="Q38" s="108">
        <f t="shared" si="6"/>
        <v>12</v>
      </c>
      <c r="R38" s="108">
        <f t="shared" si="7"/>
        <v>12</v>
      </c>
      <c r="S38" s="114">
        <f t="shared" si="8"/>
        <v>24</v>
      </c>
      <c r="T38" s="108">
        <f t="shared" si="9"/>
        <v>240</v>
      </c>
      <c r="U38" s="113">
        <f t="shared" si="18"/>
        <v>4</v>
      </c>
      <c r="V38" s="113">
        <f t="shared" si="18"/>
        <v>4</v>
      </c>
      <c r="W38" s="113">
        <f t="shared" si="18"/>
        <v>4</v>
      </c>
      <c r="X38" s="113">
        <f t="shared" si="18"/>
        <v>4</v>
      </c>
      <c r="Y38" s="109">
        <f t="shared" si="18"/>
        <v>4</v>
      </c>
      <c r="Z38" s="109">
        <f t="shared" si="18"/>
        <v>4</v>
      </c>
      <c r="AA38" s="1"/>
      <c r="AB38" s="1"/>
      <c r="AC38" s="1"/>
      <c r="AD38" s="1"/>
      <c r="AE38" s="1"/>
      <c r="AF38" s="1"/>
      <c r="AG38" s="1"/>
      <c r="AH38" s="110">
        <f t="shared" si="11"/>
        <v>-240</v>
      </c>
      <c r="AI38" s="110">
        <f t="shared" si="12"/>
        <v>-4</v>
      </c>
      <c r="AJ38" s="110">
        <f t="shared" si="13"/>
        <v>-4</v>
      </c>
      <c r="AK38" s="110">
        <f t="shared" si="14"/>
        <v>-4</v>
      </c>
      <c r="AL38" s="110">
        <f t="shared" si="15"/>
        <v>-4</v>
      </c>
      <c r="AM38" s="110">
        <f t="shared" si="16"/>
        <v>-4</v>
      </c>
      <c r="AN38" s="110">
        <f t="shared" si="17"/>
        <v>-4</v>
      </c>
    </row>
    <row r="39" spans="1:40" ht="15.75" hidden="1" thickBot="1" x14ac:dyDescent="0.25">
      <c r="A39" s="119">
        <v>36</v>
      </c>
      <c r="B39" s="121">
        <v>4</v>
      </c>
      <c r="C39" s="122" t="s">
        <v>108</v>
      </c>
      <c r="D39" s="119" t="s">
        <v>132</v>
      </c>
      <c r="E39" s="119" t="s">
        <v>193</v>
      </c>
      <c r="F39" s="119" t="s">
        <v>194</v>
      </c>
      <c r="G39" s="119" t="s">
        <v>195</v>
      </c>
      <c r="H39" s="23" t="s">
        <v>196</v>
      </c>
      <c r="I39" s="22" t="s">
        <v>197</v>
      </c>
      <c r="J39" s="20" t="s">
        <v>118</v>
      </c>
      <c r="K39" s="106" t="s">
        <v>122</v>
      </c>
      <c r="L39" s="112">
        <v>4</v>
      </c>
      <c r="M39" s="108">
        <f t="shared" si="2"/>
        <v>16</v>
      </c>
      <c r="N39" s="108">
        <f t="shared" si="3"/>
        <v>160</v>
      </c>
      <c r="O39" s="108">
        <f t="shared" si="4"/>
        <v>192</v>
      </c>
      <c r="P39" s="108">
        <f t="shared" si="5"/>
        <v>32</v>
      </c>
      <c r="Q39" s="108">
        <f t="shared" si="6"/>
        <v>8</v>
      </c>
      <c r="R39" s="108">
        <f t="shared" si="7"/>
        <v>8</v>
      </c>
      <c r="S39" s="114">
        <f t="shared" si="8"/>
        <v>16</v>
      </c>
      <c r="T39" s="108">
        <f t="shared" si="9"/>
        <v>160</v>
      </c>
      <c r="U39" s="113">
        <f t="shared" si="18"/>
        <v>2.6666666666666665</v>
      </c>
      <c r="V39" s="113">
        <f t="shared" si="18"/>
        <v>2.6666666666666665</v>
      </c>
      <c r="W39" s="113">
        <f t="shared" si="18"/>
        <v>2.6666666666666665</v>
      </c>
      <c r="X39" s="113">
        <f t="shared" si="18"/>
        <v>2.6666666666666665</v>
      </c>
      <c r="Y39" s="109">
        <f t="shared" si="18"/>
        <v>2.6666666666666665</v>
      </c>
      <c r="Z39" s="109">
        <f t="shared" si="18"/>
        <v>2.6666666666666665</v>
      </c>
      <c r="AA39" s="1"/>
      <c r="AB39" s="1"/>
      <c r="AC39" s="1"/>
      <c r="AD39" s="1"/>
      <c r="AE39" s="1"/>
      <c r="AF39" s="1"/>
      <c r="AG39" s="1"/>
      <c r="AH39" s="110">
        <f t="shared" si="11"/>
        <v>-160</v>
      </c>
      <c r="AI39" s="110">
        <f t="shared" si="12"/>
        <v>-2.6666666666666665</v>
      </c>
      <c r="AJ39" s="110">
        <f t="shared" si="13"/>
        <v>-2.6666666666666665</v>
      </c>
      <c r="AK39" s="110">
        <f t="shared" si="14"/>
        <v>-2.6666666666666665</v>
      </c>
      <c r="AL39" s="110">
        <f t="shared" si="15"/>
        <v>-2.6666666666666665</v>
      </c>
      <c r="AM39" s="110">
        <f t="shared" si="16"/>
        <v>-2.6666666666666665</v>
      </c>
      <c r="AN39" s="110">
        <f t="shared" si="17"/>
        <v>-2.6666666666666665</v>
      </c>
    </row>
    <row r="40" spans="1:40" ht="17.25" hidden="1" customHeight="1" thickBot="1" x14ac:dyDescent="0.25">
      <c r="A40" s="119">
        <v>37</v>
      </c>
      <c r="B40" s="121">
        <v>5</v>
      </c>
      <c r="C40" s="122" t="s">
        <v>108</v>
      </c>
      <c r="D40" s="119" t="s">
        <v>0</v>
      </c>
      <c r="E40" s="119" t="s">
        <v>198</v>
      </c>
      <c r="F40" s="123" t="s">
        <v>199</v>
      </c>
      <c r="G40" s="119" t="s">
        <v>185</v>
      </c>
      <c r="H40" s="20">
        <v>2556157</v>
      </c>
      <c r="I40" s="20" t="s">
        <v>113</v>
      </c>
      <c r="J40" s="20" t="s">
        <v>114</v>
      </c>
      <c r="K40" s="105" t="s">
        <v>122</v>
      </c>
      <c r="L40" s="112">
        <v>6</v>
      </c>
      <c r="M40" s="108">
        <f t="shared" si="2"/>
        <v>24</v>
      </c>
      <c r="N40" s="108">
        <f t="shared" si="3"/>
        <v>240</v>
      </c>
      <c r="O40" s="108">
        <f t="shared" si="4"/>
        <v>288</v>
      </c>
      <c r="P40" s="108">
        <f t="shared" si="5"/>
        <v>48</v>
      </c>
      <c r="Q40" s="108">
        <f t="shared" si="6"/>
        <v>12</v>
      </c>
      <c r="R40" s="108">
        <f t="shared" si="7"/>
        <v>12</v>
      </c>
      <c r="S40" s="114">
        <f t="shared" si="8"/>
        <v>24</v>
      </c>
      <c r="T40" s="108">
        <f t="shared" si="9"/>
        <v>240</v>
      </c>
      <c r="U40" s="113">
        <f t="shared" si="18"/>
        <v>4</v>
      </c>
      <c r="V40" s="113">
        <f t="shared" si="18"/>
        <v>4</v>
      </c>
      <c r="W40" s="113">
        <f t="shared" si="18"/>
        <v>4</v>
      </c>
      <c r="X40" s="113">
        <f t="shared" si="18"/>
        <v>4</v>
      </c>
      <c r="Y40" s="109">
        <f t="shared" si="18"/>
        <v>4</v>
      </c>
      <c r="Z40" s="109">
        <f t="shared" si="18"/>
        <v>4</v>
      </c>
      <c r="AA40" s="1"/>
      <c r="AB40" s="1"/>
      <c r="AC40" s="1"/>
      <c r="AD40" s="1"/>
      <c r="AE40" s="1"/>
      <c r="AF40" s="1"/>
      <c r="AG40" s="1"/>
      <c r="AH40" s="110">
        <f t="shared" si="11"/>
        <v>-240</v>
      </c>
      <c r="AI40" s="110">
        <f t="shared" si="12"/>
        <v>-4</v>
      </c>
      <c r="AJ40" s="110">
        <f t="shared" si="13"/>
        <v>-4</v>
      </c>
      <c r="AK40" s="110">
        <f t="shared" si="14"/>
        <v>-4</v>
      </c>
      <c r="AL40" s="110">
        <f t="shared" si="15"/>
        <v>-4</v>
      </c>
      <c r="AM40" s="110">
        <f t="shared" si="16"/>
        <v>-4</v>
      </c>
      <c r="AN40" s="110">
        <f t="shared" si="17"/>
        <v>-4</v>
      </c>
    </row>
    <row r="41" spans="1:40" ht="15.75" hidden="1" thickBot="1" x14ac:dyDescent="0.25">
      <c r="A41" s="119">
        <v>38</v>
      </c>
      <c r="B41" s="121">
        <v>5</v>
      </c>
      <c r="C41" s="122" t="s">
        <v>108</v>
      </c>
      <c r="D41" s="119" t="s">
        <v>0</v>
      </c>
      <c r="E41" s="119" t="s">
        <v>200</v>
      </c>
      <c r="F41" s="119" t="s">
        <v>201</v>
      </c>
      <c r="G41" s="119" t="s">
        <v>202</v>
      </c>
      <c r="H41" s="20">
        <v>3510744</v>
      </c>
      <c r="I41" s="20" t="s">
        <v>113</v>
      </c>
      <c r="J41" s="20" t="s">
        <v>118</v>
      </c>
      <c r="K41" s="21" t="s">
        <v>115</v>
      </c>
      <c r="L41" s="112">
        <v>6</v>
      </c>
      <c r="M41" s="108">
        <f t="shared" si="2"/>
        <v>24</v>
      </c>
      <c r="N41" s="108">
        <f t="shared" si="3"/>
        <v>240</v>
      </c>
      <c r="O41" s="108">
        <f t="shared" si="4"/>
        <v>288</v>
      </c>
      <c r="P41" s="108">
        <f t="shared" si="5"/>
        <v>48</v>
      </c>
      <c r="Q41" s="108">
        <f t="shared" si="6"/>
        <v>12</v>
      </c>
      <c r="R41" s="108">
        <f t="shared" si="7"/>
        <v>12</v>
      </c>
      <c r="S41" s="114">
        <f t="shared" si="8"/>
        <v>24</v>
      </c>
      <c r="T41" s="108">
        <f t="shared" si="9"/>
        <v>240</v>
      </c>
      <c r="U41" s="113">
        <f t="shared" si="18"/>
        <v>4</v>
      </c>
      <c r="V41" s="113">
        <f t="shared" si="18"/>
        <v>4</v>
      </c>
      <c r="W41" s="113">
        <f t="shared" si="18"/>
        <v>4</v>
      </c>
      <c r="X41" s="113">
        <f t="shared" si="18"/>
        <v>4</v>
      </c>
      <c r="Y41" s="109">
        <f t="shared" si="18"/>
        <v>4</v>
      </c>
      <c r="Z41" s="109">
        <f t="shared" si="18"/>
        <v>4</v>
      </c>
      <c r="AA41" s="1"/>
      <c r="AB41" s="1"/>
      <c r="AC41" s="1"/>
      <c r="AD41" s="1"/>
      <c r="AE41" s="1"/>
      <c r="AF41" s="1"/>
      <c r="AG41" s="1"/>
      <c r="AH41" s="110">
        <f t="shared" si="11"/>
        <v>-240</v>
      </c>
      <c r="AI41" s="110">
        <f t="shared" si="12"/>
        <v>-4</v>
      </c>
      <c r="AJ41" s="110">
        <f t="shared" si="13"/>
        <v>-4</v>
      </c>
      <c r="AK41" s="110">
        <f t="shared" si="14"/>
        <v>-4</v>
      </c>
      <c r="AL41" s="110">
        <f t="shared" si="15"/>
        <v>-4</v>
      </c>
      <c r="AM41" s="110">
        <f t="shared" si="16"/>
        <v>-4</v>
      </c>
      <c r="AN41" s="110">
        <f t="shared" si="17"/>
        <v>-4</v>
      </c>
    </row>
    <row r="42" spans="1:40" ht="15.75" hidden="1" thickBot="1" x14ac:dyDescent="0.25">
      <c r="A42" s="119">
        <v>39</v>
      </c>
      <c r="B42" s="121">
        <v>5</v>
      </c>
      <c r="C42" s="122" t="s">
        <v>108</v>
      </c>
      <c r="D42" s="119" t="s">
        <v>0</v>
      </c>
      <c r="E42" s="119" t="s">
        <v>203</v>
      </c>
      <c r="F42" s="119" t="s">
        <v>204</v>
      </c>
      <c r="G42" s="119" t="s">
        <v>205</v>
      </c>
      <c r="H42" s="20">
        <v>4196188</v>
      </c>
      <c r="I42" s="20" t="s">
        <v>113</v>
      </c>
      <c r="J42" s="20" t="s">
        <v>118</v>
      </c>
      <c r="K42" s="105" t="s">
        <v>115</v>
      </c>
      <c r="L42" s="112">
        <v>4</v>
      </c>
      <c r="M42" s="108">
        <f t="shared" si="2"/>
        <v>16</v>
      </c>
      <c r="N42" s="108">
        <f t="shared" si="3"/>
        <v>160</v>
      </c>
      <c r="O42" s="108">
        <f t="shared" si="4"/>
        <v>192</v>
      </c>
      <c r="P42" s="108">
        <f t="shared" si="5"/>
        <v>32</v>
      </c>
      <c r="Q42" s="108">
        <f t="shared" si="6"/>
        <v>8</v>
      </c>
      <c r="R42" s="108">
        <f t="shared" si="7"/>
        <v>8</v>
      </c>
      <c r="S42" s="114">
        <f t="shared" si="8"/>
        <v>16</v>
      </c>
      <c r="T42" s="108">
        <f t="shared" si="9"/>
        <v>160</v>
      </c>
      <c r="U42" s="113">
        <f t="shared" si="18"/>
        <v>2.6666666666666665</v>
      </c>
      <c r="V42" s="113">
        <f t="shared" si="18"/>
        <v>2.6666666666666665</v>
      </c>
      <c r="W42" s="113">
        <f t="shared" si="18"/>
        <v>2.6666666666666665</v>
      </c>
      <c r="X42" s="113">
        <f t="shared" si="18"/>
        <v>2.6666666666666665</v>
      </c>
      <c r="Y42" s="109">
        <f t="shared" si="18"/>
        <v>2.6666666666666665</v>
      </c>
      <c r="Z42" s="109">
        <f t="shared" si="18"/>
        <v>2.6666666666666665</v>
      </c>
      <c r="AA42" s="1"/>
      <c r="AB42" s="1"/>
      <c r="AC42" s="1"/>
      <c r="AD42" s="1"/>
      <c r="AE42" s="1"/>
      <c r="AF42" s="1"/>
      <c r="AG42" s="1"/>
      <c r="AH42" s="110">
        <f t="shared" si="11"/>
        <v>-160</v>
      </c>
      <c r="AI42" s="110">
        <f t="shared" si="12"/>
        <v>-2.6666666666666665</v>
      </c>
      <c r="AJ42" s="110">
        <f t="shared" si="13"/>
        <v>-2.6666666666666665</v>
      </c>
      <c r="AK42" s="110">
        <f t="shared" si="14"/>
        <v>-2.6666666666666665</v>
      </c>
      <c r="AL42" s="110">
        <f t="shared" si="15"/>
        <v>-2.6666666666666665</v>
      </c>
      <c r="AM42" s="110">
        <f t="shared" si="16"/>
        <v>-2.6666666666666665</v>
      </c>
      <c r="AN42" s="110">
        <f t="shared" si="17"/>
        <v>-2.6666666666666665</v>
      </c>
    </row>
    <row r="43" spans="1:40" ht="15.75" hidden="1" thickBot="1" x14ac:dyDescent="0.25">
      <c r="A43" s="119">
        <v>40</v>
      </c>
      <c r="B43" s="121">
        <v>5</v>
      </c>
      <c r="C43" s="122" t="s">
        <v>108</v>
      </c>
      <c r="D43" s="119" t="s">
        <v>0</v>
      </c>
      <c r="E43" s="119" t="s">
        <v>206</v>
      </c>
      <c r="F43" s="119" t="s">
        <v>207</v>
      </c>
      <c r="G43" s="119" t="s">
        <v>208</v>
      </c>
      <c r="H43" s="20">
        <v>4176588</v>
      </c>
      <c r="I43" s="20" t="s">
        <v>113</v>
      </c>
      <c r="J43" s="20" t="s">
        <v>118</v>
      </c>
      <c r="K43" s="21" t="s">
        <v>115</v>
      </c>
      <c r="L43" s="112">
        <v>6</v>
      </c>
      <c r="M43" s="108">
        <f t="shared" si="2"/>
        <v>24</v>
      </c>
      <c r="N43" s="108">
        <f t="shared" si="3"/>
        <v>240</v>
      </c>
      <c r="O43" s="108">
        <f t="shared" si="4"/>
        <v>288</v>
      </c>
      <c r="P43" s="108">
        <f t="shared" si="5"/>
        <v>48</v>
      </c>
      <c r="Q43" s="108">
        <f t="shared" si="6"/>
        <v>12</v>
      </c>
      <c r="R43" s="108">
        <f t="shared" si="7"/>
        <v>12</v>
      </c>
      <c r="S43" s="114">
        <f t="shared" si="8"/>
        <v>24</v>
      </c>
      <c r="T43" s="108">
        <f t="shared" si="9"/>
        <v>240</v>
      </c>
      <c r="U43" s="113">
        <f t="shared" si="18"/>
        <v>4</v>
      </c>
      <c r="V43" s="113">
        <f t="shared" si="18"/>
        <v>4</v>
      </c>
      <c r="W43" s="113">
        <f t="shared" si="18"/>
        <v>4</v>
      </c>
      <c r="X43" s="113">
        <f t="shared" si="18"/>
        <v>4</v>
      </c>
      <c r="Y43" s="109">
        <f t="shared" si="18"/>
        <v>4</v>
      </c>
      <c r="Z43" s="109">
        <f t="shared" si="18"/>
        <v>4</v>
      </c>
      <c r="AA43" s="1"/>
      <c r="AB43" s="1"/>
      <c r="AC43" s="1"/>
      <c r="AD43" s="1"/>
      <c r="AE43" s="1"/>
      <c r="AF43" s="1"/>
      <c r="AG43" s="1"/>
      <c r="AH43" s="110">
        <f t="shared" si="11"/>
        <v>-240</v>
      </c>
      <c r="AI43" s="110">
        <f t="shared" si="12"/>
        <v>-4</v>
      </c>
      <c r="AJ43" s="110">
        <f t="shared" si="13"/>
        <v>-4</v>
      </c>
      <c r="AK43" s="110">
        <f t="shared" si="14"/>
        <v>-4</v>
      </c>
      <c r="AL43" s="110">
        <f t="shared" si="15"/>
        <v>-4</v>
      </c>
      <c r="AM43" s="110">
        <f t="shared" si="16"/>
        <v>-4</v>
      </c>
      <c r="AN43" s="110">
        <f t="shared" si="17"/>
        <v>-4</v>
      </c>
    </row>
    <row r="44" spans="1:40" ht="15.75" hidden="1" thickBot="1" x14ac:dyDescent="0.25">
      <c r="A44" s="119">
        <v>41</v>
      </c>
      <c r="B44" s="121">
        <v>5</v>
      </c>
      <c r="C44" s="122" t="s">
        <v>108</v>
      </c>
      <c r="D44" s="119" t="s">
        <v>209</v>
      </c>
      <c r="E44" s="119" t="s">
        <v>206</v>
      </c>
      <c r="F44" s="119" t="s">
        <v>210</v>
      </c>
      <c r="G44" s="119" t="s">
        <v>211</v>
      </c>
      <c r="H44" s="20">
        <v>4187421</v>
      </c>
      <c r="I44" s="20" t="s">
        <v>212</v>
      </c>
      <c r="J44" s="20" t="s">
        <v>118</v>
      </c>
      <c r="K44" s="21" t="s">
        <v>213</v>
      </c>
      <c r="L44" s="112">
        <v>6</v>
      </c>
      <c r="M44" s="108">
        <f t="shared" si="2"/>
        <v>24</v>
      </c>
      <c r="N44" s="108">
        <f t="shared" si="3"/>
        <v>240</v>
      </c>
      <c r="O44" s="108">
        <f t="shared" si="4"/>
        <v>288</v>
      </c>
      <c r="P44" s="108">
        <f t="shared" si="5"/>
        <v>48</v>
      </c>
      <c r="Q44" s="108">
        <f t="shared" si="6"/>
        <v>12</v>
      </c>
      <c r="R44" s="108">
        <f t="shared" si="7"/>
        <v>12</v>
      </c>
      <c r="S44" s="114">
        <f t="shared" si="8"/>
        <v>24</v>
      </c>
      <c r="T44" s="108">
        <f t="shared" si="9"/>
        <v>240</v>
      </c>
      <c r="U44" s="113">
        <f t="shared" si="18"/>
        <v>4</v>
      </c>
      <c r="V44" s="113">
        <f t="shared" si="18"/>
        <v>4</v>
      </c>
      <c r="W44" s="113">
        <f t="shared" si="18"/>
        <v>4</v>
      </c>
      <c r="X44" s="113">
        <f t="shared" si="18"/>
        <v>4</v>
      </c>
      <c r="Y44" s="109">
        <f t="shared" si="18"/>
        <v>4</v>
      </c>
      <c r="Z44" s="109">
        <f t="shared" si="18"/>
        <v>4</v>
      </c>
      <c r="AA44" s="1"/>
      <c r="AB44" s="1"/>
      <c r="AC44" s="1"/>
      <c r="AD44" s="1"/>
      <c r="AE44" s="1"/>
      <c r="AF44" s="1"/>
      <c r="AG44" s="1"/>
      <c r="AH44" s="110">
        <f t="shared" si="11"/>
        <v>-240</v>
      </c>
      <c r="AI44" s="110">
        <f t="shared" si="12"/>
        <v>-4</v>
      </c>
      <c r="AJ44" s="110">
        <f t="shared" si="13"/>
        <v>-4</v>
      </c>
      <c r="AK44" s="110">
        <f t="shared" si="14"/>
        <v>-4</v>
      </c>
      <c r="AL44" s="110">
        <f t="shared" si="15"/>
        <v>-4</v>
      </c>
      <c r="AM44" s="110">
        <f t="shared" si="16"/>
        <v>-4</v>
      </c>
      <c r="AN44" s="110">
        <f t="shared" si="17"/>
        <v>-4</v>
      </c>
    </row>
    <row r="45" spans="1:40" ht="15.75" hidden="1" thickBot="1" x14ac:dyDescent="0.25">
      <c r="A45" s="119">
        <v>42</v>
      </c>
      <c r="B45" s="121">
        <v>5</v>
      </c>
      <c r="C45" s="122" t="s">
        <v>108</v>
      </c>
      <c r="D45" s="119" t="s">
        <v>209</v>
      </c>
      <c r="E45" s="119" t="s">
        <v>203</v>
      </c>
      <c r="F45" s="119" t="s">
        <v>214</v>
      </c>
      <c r="G45" s="119" t="s">
        <v>215</v>
      </c>
      <c r="H45" s="20">
        <v>1903207</v>
      </c>
      <c r="I45" s="20" t="s">
        <v>216</v>
      </c>
      <c r="J45" s="20" t="s">
        <v>118</v>
      </c>
      <c r="K45" s="21" t="s">
        <v>213</v>
      </c>
      <c r="L45" s="112">
        <v>6</v>
      </c>
      <c r="M45" s="108">
        <f t="shared" si="2"/>
        <v>24</v>
      </c>
      <c r="N45" s="108">
        <f t="shared" si="3"/>
        <v>240</v>
      </c>
      <c r="O45" s="108">
        <f t="shared" si="4"/>
        <v>288</v>
      </c>
      <c r="P45" s="108">
        <f t="shared" si="5"/>
        <v>48</v>
      </c>
      <c r="Q45" s="108">
        <f t="shared" si="6"/>
        <v>12</v>
      </c>
      <c r="R45" s="108">
        <f t="shared" si="7"/>
        <v>12</v>
      </c>
      <c r="S45" s="114">
        <f t="shared" si="8"/>
        <v>24</v>
      </c>
      <c r="T45" s="108">
        <f t="shared" si="9"/>
        <v>240</v>
      </c>
      <c r="U45" s="113">
        <f t="shared" si="18"/>
        <v>4</v>
      </c>
      <c r="V45" s="113">
        <f t="shared" si="18"/>
        <v>4</v>
      </c>
      <c r="W45" s="113">
        <f t="shared" si="18"/>
        <v>4</v>
      </c>
      <c r="X45" s="113">
        <f t="shared" si="18"/>
        <v>4</v>
      </c>
      <c r="Y45" s="109">
        <f t="shared" si="18"/>
        <v>4</v>
      </c>
      <c r="Z45" s="109">
        <f t="shared" si="18"/>
        <v>4</v>
      </c>
      <c r="AA45" s="1"/>
      <c r="AB45" s="1"/>
      <c r="AC45" s="1"/>
      <c r="AD45" s="1"/>
      <c r="AE45" s="1"/>
      <c r="AF45" s="1"/>
      <c r="AG45" s="1"/>
      <c r="AH45" s="110">
        <f t="shared" si="11"/>
        <v>-240</v>
      </c>
      <c r="AI45" s="110">
        <f t="shared" si="12"/>
        <v>-4</v>
      </c>
      <c r="AJ45" s="110">
        <f t="shared" si="13"/>
        <v>-4</v>
      </c>
      <c r="AK45" s="110">
        <f t="shared" si="14"/>
        <v>-4</v>
      </c>
      <c r="AL45" s="110">
        <f t="shared" si="15"/>
        <v>-4</v>
      </c>
      <c r="AM45" s="110">
        <f t="shared" si="16"/>
        <v>-4</v>
      </c>
      <c r="AN45" s="110">
        <f t="shared" si="17"/>
        <v>-4</v>
      </c>
    </row>
    <row r="46" spans="1:40" ht="15.75" hidden="1" thickBot="1" x14ac:dyDescent="0.25">
      <c r="A46" s="119">
        <v>43</v>
      </c>
      <c r="B46" s="121">
        <v>6</v>
      </c>
      <c r="C46" s="122" t="s">
        <v>108</v>
      </c>
      <c r="D46" s="119" t="s">
        <v>0</v>
      </c>
      <c r="E46" s="119" t="s">
        <v>217</v>
      </c>
      <c r="F46" s="119" t="s">
        <v>218</v>
      </c>
      <c r="G46" s="119" t="s">
        <v>219</v>
      </c>
      <c r="H46" s="20">
        <v>5581445</v>
      </c>
      <c r="I46" s="20" t="s">
        <v>113</v>
      </c>
      <c r="J46" s="20" t="s">
        <v>118</v>
      </c>
      <c r="K46" s="21" t="s">
        <v>115</v>
      </c>
      <c r="L46" s="112">
        <v>6</v>
      </c>
      <c r="M46" s="108">
        <f t="shared" si="2"/>
        <v>24</v>
      </c>
      <c r="N46" s="108">
        <f t="shared" si="3"/>
        <v>240</v>
      </c>
      <c r="O46" s="108">
        <f t="shared" si="4"/>
        <v>288</v>
      </c>
      <c r="P46" s="108">
        <f t="shared" si="5"/>
        <v>48</v>
      </c>
      <c r="Q46" s="108">
        <f t="shared" si="6"/>
        <v>12</v>
      </c>
      <c r="R46" s="108">
        <f t="shared" si="7"/>
        <v>12</v>
      </c>
      <c r="S46" s="114">
        <f t="shared" si="8"/>
        <v>24</v>
      </c>
      <c r="T46" s="108">
        <f t="shared" si="9"/>
        <v>240</v>
      </c>
      <c r="U46" s="113">
        <f t="shared" si="18"/>
        <v>4</v>
      </c>
      <c r="V46" s="113">
        <f t="shared" si="18"/>
        <v>4</v>
      </c>
      <c r="W46" s="113">
        <f t="shared" si="18"/>
        <v>4</v>
      </c>
      <c r="X46" s="113">
        <f t="shared" si="18"/>
        <v>4</v>
      </c>
      <c r="Y46" s="109">
        <f t="shared" si="18"/>
        <v>4</v>
      </c>
      <c r="Z46" s="109">
        <f t="shared" si="18"/>
        <v>4</v>
      </c>
      <c r="AA46" s="1"/>
      <c r="AB46" s="1"/>
      <c r="AC46" s="1"/>
      <c r="AD46" s="1"/>
      <c r="AE46" s="1"/>
      <c r="AF46" s="1"/>
      <c r="AG46" s="1"/>
      <c r="AH46" s="110">
        <f t="shared" si="11"/>
        <v>-240</v>
      </c>
      <c r="AI46" s="110">
        <f t="shared" si="12"/>
        <v>-4</v>
      </c>
      <c r="AJ46" s="110">
        <f t="shared" si="13"/>
        <v>-4</v>
      </c>
      <c r="AK46" s="110">
        <f t="shared" si="14"/>
        <v>-4</v>
      </c>
      <c r="AL46" s="110">
        <f t="shared" si="15"/>
        <v>-4</v>
      </c>
      <c r="AM46" s="110">
        <f t="shared" si="16"/>
        <v>-4</v>
      </c>
      <c r="AN46" s="110">
        <f t="shared" si="17"/>
        <v>-4</v>
      </c>
    </row>
    <row r="47" spans="1:40" ht="15.75" hidden="1" thickBot="1" x14ac:dyDescent="0.25">
      <c r="A47" s="119">
        <v>44</v>
      </c>
      <c r="B47" s="121">
        <v>6</v>
      </c>
      <c r="C47" s="122" t="s">
        <v>108</v>
      </c>
      <c r="D47" s="119" t="s">
        <v>209</v>
      </c>
      <c r="E47" s="119" t="s">
        <v>220</v>
      </c>
      <c r="F47" s="119" t="s">
        <v>221</v>
      </c>
      <c r="G47" s="119" t="s">
        <v>174</v>
      </c>
      <c r="H47" s="20">
        <v>1939375</v>
      </c>
      <c r="I47" s="20" t="s">
        <v>113</v>
      </c>
      <c r="J47" s="20" t="s">
        <v>118</v>
      </c>
      <c r="K47" s="21" t="s">
        <v>122</v>
      </c>
      <c r="L47" s="112">
        <v>6</v>
      </c>
      <c r="M47" s="108">
        <f t="shared" si="2"/>
        <v>24</v>
      </c>
      <c r="N47" s="108">
        <f t="shared" si="3"/>
        <v>240</v>
      </c>
      <c r="O47" s="108">
        <f t="shared" si="4"/>
        <v>288</v>
      </c>
      <c r="P47" s="108">
        <f t="shared" si="5"/>
        <v>48</v>
      </c>
      <c r="Q47" s="108">
        <f t="shared" si="6"/>
        <v>12</v>
      </c>
      <c r="R47" s="108">
        <f t="shared" si="7"/>
        <v>12</v>
      </c>
      <c r="S47" s="114">
        <f t="shared" si="8"/>
        <v>24</v>
      </c>
      <c r="T47" s="108">
        <f t="shared" si="9"/>
        <v>240</v>
      </c>
      <c r="U47" s="113">
        <f t="shared" si="18"/>
        <v>4</v>
      </c>
      <c r="V47" s="113">
        <f t="shared" si="18"/>
        <v>4</v>
      </c>
      <c r="W47" s="113">
        <f t="shared" si="18"/>
        <v>4</v>
      </c>
      <c r="X47" s="113">
        <f t="shared" si="18"/>
        <v>4</v>
      </c>
      <c r="Y47" s="109">
        <f t="shared" si="18"/>
        <v>4</v>
      </c>
      <c r="Z47" s="109">
        <f t="shared" si="18"/>
        <v>4</v>
      </c>
      <c r="AA47" s="1"/>
      <c r="AB47" s="1"/>
      <c r="AC47" s="1"/>
      <c r="AD47" s="1"/>
      <c r="AE47" s="1"/>
      <c r="AF47" s="1"/>
      <c r="AG47" s="1"/>
      <c r="AH47" s="110">
        <f t="shared" si="11"/>
        <v>-240</v>
      </c>
      <c r="AI47" s="110">
        <f t="shared" si="12"/>
        <v>-4</v>
      </c>
      <c r="AJ47" s="110">
        <f t="shared" si="13"/>
        <v>-4</v>
      </c>
      <c r="AK47" s="110">
        <f t="shared" si="14"/>
        <v>-4</v>
      </c>
      <c r="AL47" s="110">
        <f t="shared" si="15"/>
        <v>-4</v>
      </c>
      <c r="AM47" s="110">
        <f t="shared" si="16"/>
        <v>-4</v>
      </c>
      <c r="AN47" s="110">
        <f t="shared" si="17"/>
        <v>-4</v>
      </c>
    </row>
    <row r="48" spans="1:40" ht="15.75" hidden="1" thickBot="1" x14ac:dyDescent="0.25">
      <c r="A48" s="119">
        <v>45</v>
      </c>
      <c r="B48" s="121">
        <v>6</v>
      </c>
      <c r="C48" s="122" t="s">
        <v>108</v>
      </c>
      <c r="D48" s="119" t="s">
        <v>209</v>
      </c>
      <c r="E48" s="119" t="s">
        <v>222</v>
      </c>
      <c r="F48" s="119" t="s">
        <v>223</v>
      </c>
      <c r="G48" s="119" t="s">
        <v>224</v>
      </c>
      <c r="H48" s="20">
        <v>3928164</v>
      </c>
      <c r="I48" s="20" t="s">
        <v>113</v>
      </c>
      <c r="J48" s="20" t="s">
        <v>118</v>
      </c>
      <c r="K48" s="21" t="s">
        <v>115</v>
      </c>
      <c r="L48" s="112">
        <v>6</v>
      </c>
      <c r="M48" s="108">
        <f t="shared" si="2"/>
        <v>24</v>
      </c>
      <c r="N48" s="108">
        <f t="shared" si="3"/>
        <v>240</v>
      </c>
      <c r="O48" s="108">
        <f t="shared" si="4"/>
        <v>288</v>
      </c>
      <c r="P48" s="108">
        <f t="shared" si="5"/>
        <v>48</v>
      </c>
      <c r="Q48" s="108">
        <f t="shared" si="6"/>
        <v>12</v>
      </c>
      <c r="R48" s="108">
        <f t="shared" si="7"/>
        <v>12</v>
      </c>
      <c r="S48" s="114">
        <f t="shared" si="8"/>
        <v>24</v>
      </c>
      <c r="T48" s="108">
        <f t="shared" si="9"/>
        <v>240</v>
      </c>
      <c r="U48" s="113">
        <f t="shared" si="18"/>
        <v>4</v>
      </c>
      <c r="V48" s="113">
        <f t="shared" si="18"/>
        <v>4</v>
      </c>
      <c r="W48" s="113">
        <f t="shared" si="18"/>
        <v>4</v>
      </c>
      <c r="X48" s="113">
        <f t="shared" si="18"/>
        <v>4</v>
      </c>
      <c r="Y48" s="109">
        <f t="shared" si="18"/>
        <v>4</v>
      </c>
      <c r="Z48" s="109">
        <f t="shared" si="18"/>
        <v>4</v>
      </c>
      <c r="AA48" s="1"/>
      <c r="AB48" s="1"/>
      <c r="AC48" s="1"/>
      <c r="AD48" s="1"/>
      <c r="AE48" s="1"/>
      <c r="AF48" s="1"/>
      <c r="AG48" s="1"/>
      <c r="AH48" s="110">
        <f t="shared" si="11"/>
        <v>-240</v>
      </c>
      <c r="AI48" s="110">
        <f t="shared" si="12"/>
        <v>-4</v>
      </c>
      <c r="AJ48" s="110">
        <f t="shared" si="13"/>
        <v>-4</v>
      </c>
      <c r="AK48" s="110">
        <f t="shared" si="14"/>
        <v>-4</v>
      </c>
      <c r="AL48" s="110">
        <f t="shared" si="15"/>
        <v>-4</v>
      </c>
      <c r="AM48" s="110">
        <f t="shared" si="16"/>
        <v>-4</v>
      </c>
      <c r="AN48" s="110">
        <f t="shared" si="17"/>
        <v>-4</v>
      </c>
    </row>
    <row r="49" spans="1:40" ht="15.75" hidden="1" thickBot="1" x14ac:dyDescent="0.25">
      <c r="A49" s="119">
        <v>46</v>
      </c>
      <c r="B49" s="121">
        <v>6</v>
      </c>
      <c r="C49" s="122" t="s">
        <v>108</v>
      </c>
      <c r="D49" s="119" t="s">
        <v>209</v>
      </c>
      <c r="E49" s="119" t="s">
        <v>217</v>
      </c>
      <c r="F49" s="119" t="s">
        <v>225</v>
      </c>
      <c r="G49" s="119" t="s">
        <v>226</v>
      </c>
      <c r="H49" s="20">
        <v>5584232</v>
      </c>
      <c r="I49" s="20" t="s">
        <v>113</v>
      </c>
      <c r="J49" s="20" t="s">
        <v>118</v>
      </c>
      <c r="K49" s="21" t="s">
        <v>115</v>
      </c>
      <c r="L49" s="112">
        <v>6</v>
      </c>
      <c r="M49" s="108">
        <f t="shared" si="2"/>
        <v>24</v>
      </c>
      <c r="N49" s="108">
        <f t="shared" si="3"/>
        <v>240</v>
      </c>
      <c r="O49" s="108">
        <f t="shared" si="4"/>
        <v>288</v>
      </c>
      <c r="P49" s="108">
        <f t="shared" si="5"/>
        <v>48</v>
      </c>
      <c r="Q49" s="108">
        <f t="shared" si="6"/>
        <v>12</v>
      </c>
      <c r="R49" s="108">
        <f t="shared" si="7"/>
        <v>12</v>
      </c>
      <c r="S49" s="114">
        <f t="shared" si="8"/>
        <v>24</v>
      </c>
      <c r="T49" s="108">
        <f t="shared" si="9"/>
        <v>240</v>
      </c>
      <c r="U49" s="113">
        <f t="shared" si="18"/>
        <v>4</v>
      </c>
      <c r="V49" s="113">
        <f t="shared" si="18"/>
        <v>4</v>
      </c>
      <c r="W49" s="113">
        <f t="shared" si="18"/>
        <v>4</v>
      </c>
      <c r="X49" s="113">
        <f t="shared" si="18"/>
        <v>4</v>
      </c>
      <c r="Y49" s="109">
        <f t="shared" si="18"/>
        <v>4</v>
      </c>
      <c r="Z49" s="109">
        <f t="shared" si="18"/>
        <v>4</v>
      </c>
      <c r="AA49" s="1"/>
      <c r="AB49" s="1"/>
      <c r="AC49" s="1"/>
      <c r="AD49" s="1"/>
      <c r="AE49" s="1"/>
      <c r="AF49" s="1"/>
      <c r="AG49" s="1"/>
      <c r="AH49" s="110">
        <f t="shared" si="11"/>
        <v>-240</v>
      </c>
      <c r="AI49" s="110">
        <f t="shared" si="12"/>
        <v>-4</v>
      </c>
      <c r="AJ49" s="110">
        <f t="shared" si="13"/>
        <v>-4</v>
      </c>
      <c r="AK49" s="110">
        <f t="shared" si="14"/>
        <v>-4</v>
      </c>
      <c r="AL49" s="110">
        <f t="shared" si="15"/>
        <v>-4</v>
      </c>
      <c r="AM49" s="110">
        <f t="shared" si="16"/>
        <v>-4</v>
      </c>
      <c r="AN49" s="110">
        <f t="shared" si="17"/>
        <v>-4</v>
      </c>
    </row>
    <row r="50" spans="1:40" ht="15.75" hidden="1" thickBot="1" x14ac:dyDescent="0.25">
      <c r="A50" s="119">
        <v>47</v>
      </c>
      <c r="B50" s="121">
        <v>6</v>
      </c>
      <c r="C50" s="122" t="s">
        <v>108</v>
      </c>
      <c r="D50" s="119" t="s">
        <v>209</v>
      </c>
      <c r="E50" s="119" t="s">
        <v>227</v>
      </c>
      <c r="F50" s="119" t="s">
        <v>228</v>
      </c>
      <c r="G50" s="119" t="s">
        <v>215</v>
      </c>
      <c r="H50" s="20">
        <v>1903207</v>
      </c>
      <c r="I50" s="20" t="s">
        <v>216</v>
      </c>
      <c r="J50" s="20" t="s">
        <v>118</v>
      </c>
      <c r="K50" s="21" t="s">
        <v>213</v>
      </c>
      <c r="L50" s="112">
        <v>6</v>
      </c>
      <c r="M50" s="108">
        <f t="shared" si="2"/>
        <v>24</v>
      </c>
      <c r="N50" s="108">
        <f t="shared" si="3"/>
        <v>240</v>
      </c>
      <c r="O50" s="108">
        <f t="shared" si="4"/>
        <v>288</v>
      </c>
      <c r="P50" s="108">
        <f t="shared" si="5"/>
        <v>48</v>
      </c>
      <c r="Q50" s="108">
        <f t="shared" si="6"/>
        <v>12</v>
      </c>
      <c r="R50" s="108">
        <f t="shared" si="7"/>
        <v>12</v>
      </c>
      <c r="S50" s="114">
        <f t="shared" si="8"/>
        <v>24</v>
      </c>
      <c r="T50" s="108">
        <f t="shared" si="9"/>
        <v>240</v>
      </c>
      <c r="U50" s="113">
        <f t="shared" si="18"/>
        <v>4</v>
      </c>
      <c r="V50" s="113">
        <f t="shared" si="18"/>
        <v>4</v>
      </c>
      <c r="W50" s="113">
        <f t="shared" si="18"/>
        <v>4</v>
      </c>
      <c r="X50" s="113">
        <f t="shared" si="18"/>
        <v>4</v>
      </c>
      <c r="Y50" s="109">
        <f t="shared" si="18"/>
        <v>4</v>
      </c>
      <c r="Z50" s="109">
        <f t="shared" si="18"/>
        <v>4</v>
      </c>
      <c r="AA50" s="1"/>
      <c r="AB50" s="1"/>
      <c r="AC50" s="1"/>
      <c r="AD50" s="1"/>
      <c r="AE50" s="1"/>
      <c r="AF50" s="1"/>
      <c r="AG50" s="1"/>
      <c r="AH50" s="110">
        <f t="shared" si="11"/>
        <v>-240</v>
      </c>
      <c r="AI50" s="110">
        <f t="shared" si="12"/>
        <v>-4</v>
      </c>
      <c r="AJ50" s="110">
        <f t="shared" si="13"/>
        <v>-4</v>
      </c>
      <c r="AK50" s="110">
        <f t="shared" si="14"/>
        <v>-4</v>
      </c>
      <c r="AL50" s="110">
        <f t="shared" si="15"/>
        <v>-4</v>
      </c>
      <c r="AM50" s="110">
        <f t="shared" si="16"/>
        <v>-4</v>
      </c>
      <c r="AN50" s="110">
        <f t="shared" si="17"/>
        <v>-4</v>
      </c>
    </row>
    <row r="51" spans="1:40" ht="15.75" hidden="1" thickBot="1" x14ac:dyDescent="0.25">
      <c r="A51" s="119">
        <v>48</v>
      </c>
      <c r="B51" s="121">
        <v>6</v>
      </c>
      <c r="C51" s="122" t="s">
        <v>108</v>
      </c>
      <c r="D51" s="119" t="s">
        <v>209</v>
      </c>
      <c r="E51" s="119" t="s">
        <v>229</v>
      </c>
      <c r="F51" s="119" t="s">
        <v>230</v>
      </c>
      <c r="G51" s="119" t="s">
        <v>231</v>
      </c>
      <c r="H51" s="20">
        <v>1939285</v>
      </c>
      <c r="I51" s="20" t="s">
        <v>113</v>
      </c>
      <c r="J51" s="20" t="s">
        <v>118</v>
      </c>
      <c r="K51" s="21" t="s">
        <v>115</v>
      </c>
      <c r="L51" s="112">
        <v>6</v>
      </c>
      <c r="M51" s="108">
        <f t="shared" si="2"/>
        <v>24</v>
      </c>
      <c r="N51" s="108">
        <f t="shared" si="3"/>
        <v>240</v>
      </c>
      <c r="O51" s="108">
        <f t="shared" si="4"/>
        <v>288</v>
      </c>
      <c r="P51" s="108">
        <f t="shared" si="5"/>
        <v>48</v>
      </c>
      <c r="Q51" s="108">
        <f t="shared" si="6"/>
        <v>12</v>
      </c>
      <c r="R51" s="108">
        <f t="shared" si="7"/>
        <v>12</v>
      </c>
      <c r="S51" s="114">
        <f t="shared" si="8"/>
        <v>24</v>
      </c>
      <c r="T51" s="108">
        <f t="shared" si="9"/>
        <v>240</v>
      </c>
      <c r="U51" s="113">
        <f t="shared" si="18"/>
        <v>4</v>
      </c>
      <c r="V51" s="113">
        <f t="shared" si="18"/>
        <v>4</v>
      </c>
      <c r="W51" s="113">
        <f t="shared" si="18"/>
        <v>4</v>
      </c>
      <c r="X51" s="113">
        <f t="shared" si="18"/>
        <v>4</v>
      </c>
      <c r="Y51" s="109">
        <f t="shared" si="18"/>
        <v>4</v>
      </c>
      <c r="Z51" s="109">
        <f t="shared" si="18"/>
        <v>4</v>
      </c>
      <c r="AA51" s="1"/>
      <c r="AB51" s="1"/>
      <c r="AC51" s="1"/>
      <c r="AD51" s="1"/>
      <c r="AE51" s="1"/>
      <c r="AF51" s="1"/>
      <c r="AG51" s="1"/>
      <c r="AH51" s="110">
        <f t="shared" si="11"/>
        <v>-240</v>
      </c>
      <c r="AI51" s="110">
        <f t="shared" si="12"/>
        <v>-4</v>
      </c>
      <c r="AJ51" s="110">
        <f t="shared" si="13"/>
        <v>-4</v>
      </c>
      <c r="AK51" s="110">
        <f t="shared" si="14"/>
        <v>-4</v>
      </c>
      <c r="AL51" s="110">
        <f t="shared" si="15"/>
        <v>-4</v>
      </c>
      <c r="AM51" s="110">
        <f t="shared" si="16"/>
        <v>-4</v>
      </c>
      <c r="AN51" s="110">
        <f t="shared" si="17"/>
        <v>-4</v>
      </c>
    </row>
    <row r="52" spans="1:40" ht="15" hidden="1" customHeight="1" thickBot="1" x14ac:dyDescent="0.25">
      <c r="A52" s="119">
        <v>49</v>
      </c>
      <c r="B52" s="121">
        <v>7</v>
      </c>
      <c r="C52" s="122" t="s">
        <v>108</v>
      </c>
      <c r="D52" s="119" t="s">
        <v>209</v>
      </c>
      <c r="E52" s="119" t="s">
        <v>232</v>
      </c>
      <c r="F52" s="119" t="s">
        <v>233</v>
      </c>
      <c r="G52" s="119" t="s">
        <v>168</v>
      </c>
      <c r="H52" s="20">
        <v>1733152</v>
      </c>
      <c r="I52" s="20" t="s">
        <v>113</v>
      </c>
      <c r="J52" s="20" t="s">
        <v>114</v>
      </c>
      <c r="K52" s="21" t="s">
        <v>115</v>
      </c>
      <c r="L52" s="112">
        <v>6</v>
      </c>
      <c r="M52" s="108">
        <f t="shared" si="2"/>
        <v>24</v>
      </c>
      <c r="N52" s="108">
        <f t="shared" si="3"/>
        <v>240</v>
      </c>
      <c r="O52" s="108">
        <f t="shared" si="4"/>
        <v>288</v>
      </c>
      <c r="P52" s="108">
        <f t="shared" si="5"/>
        <v>48</v>
      </c>
      <c r="Q52" s="108">
        <f t="shared" si="6"/>
        <v>12</v>
      </c>
      <c r="R52" s="108">
        <f t="shared" si="7"/>
        <v>12</v>
      </c>
      <c r="S52" s="114">
        <f t="shared" si="8"/>
        <v>24</v>
      </c>
      <c r="T52" s="108">
        <f t="shared" si="9"/>
        <v>240</v>
      </c>
      <c r="U52" s="113">
        <f t="shared" si="18"/>
        <v>4</v>
      </c>
      <c r="V52" s="113">
        <f t="shared" si="18"/>
        <v>4</v>
      </c>
      <c r="W52" s="113">
        <f t="shared" si="18"/>
        <v>4</v>
      </c>
      <c r="X52" s="113">
        <f t="shared" si="18"/>
        <v>4</v>
      </c>
      <c r="Y52" s="109">
        <f t="shared" si="18"/>
        <v>4</v>
      </c>
      <c r="Z52" s="109">
        <f t="shared" si="18"/>
        <v>4</v>
      </c>
      <c r="AA52" s="1"/>
      <c r="AB52" s="1"/>
      <c r="AC52" s="1"/>
      <c r="AD52" s="1"/>
      <c r="AE52" s="1"/>
      <c r="AF52" s="1"/>
      <c r="AG52" s="1"/>
      <c r="AH52" s="110">
        <f t="shared" si="11"/>
        <v>-240</v>
      </c>
      <c r="AI52" s="110">
        <f t="shared" si="12"/>
        <v>-4</v>
      </c>
      <c r="AJ52" s="110">
        <f t="shared" si="13"/>
        <v>-4</v>
      </c>
      <c r="AK52" s="110">
        <f t="shared" si="14"/>
        <v>-4</v>
      </c>
      <c r="AL52" s="110">
        <f t="shared" si="15"/>
        <v>-4</v>
      </c>
      <c r="AM52" s="110">
        <f t="shared" si="16"/>
        <v>-4</v>
      </c>
      <c r="AN52" s="110">
        <f t="shared" si="17"/>
        <v>-4</v>
      </c>
    </row>
    <row r="53" spans="1:40" ht="15.75" hidden="1" thickBot="1" x14ac:dyDescent="0.25">
      <c r="A53" s="119">
        <v>50</v>
      </c>
      <c r="B53" s="121">
        <v>7</v>
      </c>
      <c r="C53" s="122" t="s">
        <v>108</v>
      </c>
      <c r="D53" s="119" t="s">
        <v>209</v>
      </c>
      <c r="E53" s="119" t="s">
        <v>234</v>
      </c>
      <c r="F53" s="119" t="s">
        <v>235</v>
      </c>
      <c r="G53" s="119" t="s">
        <v>202</v>
      </c>
      <c r="H53" s="20">
        <v>3510744</v>
      </c>
      <c r="I53" s="20" t="s">
        <v>113</v>
      </c>
      <c r="J53" s="20" t="s">
        <v>114</v>
      </c>
      <c r="K53" s="105" t="s">
        <v>115</v>
      </c>
      <c r="L53" s="112">
        <v>6</v>
      </c>
      <c r="M53" s="108">
        <f t="shared" si="2"/>
        <v>24</v>
      </c>
      <c r="N53" s="108">
        <f t="shared" si="3"/>
        <v>240</v>
      </c>
      <c r="O53" s="108">
        <f t="shared" si="4"/>
        <v>288</v>
      </c>
      <c r="P53" s="108">
        <f t="shared" si="5"/>
        <v>48</v>
      </c>
      <c r="Q53" s="108">
        <f t="shared" si="6"/>
        <v>12</v>
      </c>
      <c r="R53" s="108">
        <f t="shared" si="7"/>
        <v>12</v>
      </c>
      <c r="S53" s="114">
        <f t="shared" si="8"/>
        <v>24</v>
      </c>
      <c r="T53" s="108">
        <f t="shared" si="9"/>
        <v>240</v>
      </c>
      <c r="U53" s="113">
        <f t="shared" si="18"/>
        <v>4</v>
      </c>
      <c r="V53" s="113">
        <f t="shared" si="18"/>
        <v>4</v>
      </c>
      <c r="W53" s="113">
        <f t="shared" si="18"/>
        <v>4</v>
      </c>
      <c r="X53" s="113">
        <f t="shared" si="18"/>
        <v>4</v>
      </c>
      <c r="Y53" s="109">
        <f t="shared" si="18"/>
        <v>4</v>
      </c>
      <c r="Z53" s="109">
        <f t="shared" si="18"/>
        <v>4</v>
      </c>
      <c r="AA53" s="1"/>
      <c r="AB53" s="1"/>
      <c r="AC53" s="1"/>
      <c r="AD53" s="1"/>
      <c r="AE53" s="1"/>
      <c r="AF53" s="1"/>
      <c r="AG53" s="1"/>
      <c r="AH53" s="110">
        <f t="shared" si="11"/>
        <v>-240</v>
      </c>
      <c r="AI53" s="110">
        <f t="shared" si="12"/>
        <v>-4</v>
      </c>
      <c r="AJ53" s="110">
        <f t="shared" si="13"/>
        <v>-4</v>
      </c>
      <c r="AK53" s="110">
        <f t="shared" si="14"/>
        <v>-4</v>
      </c>
      <c r="AL53" s="110">
        <f t="shared" si="15"/>
        <v>-4</v>
      </c>
      <c r="AM53" s="110">
        <f t="shared" si="16"/>
        <v>-4</v>
      </c>
      <c r="AN53" s="110">
        <f t="shared" si="17"/>
        <v>-4</v>
      </c>
    </row>
    <row r="54" spans="1:40" ht="15.75" hidden="1" thickBot="1" x14ac:dyDescent="0.25">
      <c r="A54" s="119">
        <v>51</v>
      </c>
      <c r="B54" s="121">
        <v>7</v>
      </c>
      <c r="C54" s="122" t="s">
        <v>108</v>
      </c>
      <c r="D54" s="119" t="s">
        <v>209</v>
      </c>
      <c r="E54" s="119" t="s">
        <v>236</v>
      </c>
      <c r="F54" s="119" t="s">
        <v>237</v>
      </c>
      <c r="G54" s="119" t="s">
        <v>177</v>
      </c>
      <c r="H54" s="20">
        <v>4192262</v>
      </c>
      <c r="I54" s="20" t="s">
        <v>113</v>
      </c>
      <c r="J54" s="20" t="s">
        <v>118</v>
      </c>
      <c r="K54" s="21" t="s">
        <v>122</v>
      </c>
      <c r="L54" s="112">
        <v>6</v>
      </c>
      <c r="M54" s="108">
        <f t="shared" si="2"/>
        <v>24</v>
      </c>
      <c r="N54" s="108">
        <f t="shared" si="3"/>
        <v>240</v>
      </c>
      <c r="O54" s="108">
        <f t="shared" si="4"/>
        <v>288</v>
      </c>
      <c r="P54" s="108">
        <f t="shared" si="5"/>
        <v>48</v>
      </c>
      <c r="Q54" s="108">
        <f t="shared" si="6"/>
        <v>12</v>
      </c>
      <c r="R54" s="108">
        <f t="shared" si="7"/>
        <v>12</v>
      </c>
      <c r="S54" s="114">
        <f t="shared" si="8"/>
        <v>24</v>
      </c>
      <c r="T54" s="108">
        <f t="shared" si="9"/>
        <v>240</v>
      </c>
      <c r="U54" s="113">
        <f t="shared" si="18"/>
        <v>4</v>
      </c>
      <c r="V54" s="113">
        <f t="shared" si="18"/>
        <v>4</v>
      </c>
      <c r="W54" s="113">
        <f t="shared" si="18"/>
        <v>4</v>
      </c>
      <c r="X54" s="113">
        <f t="shared" si="18"/>
        <v>4</v>
      </c>
      <c r="Y54" s="109">
        <f t="shared" si="18"/>
        <v>4</v>
      </c>
      <c r="Z54" s="109">
        <f t="shared" si="18"/>
        <v>4</v>
      </c>
      <c r="AA54" s="1"/>
      <c r="AB54" s="1"/>
      <c r="AC54" s="1"/>
      <c r="AD54" s="1"/>
      <c r="AE54" s="1"/>
      <c r="AF54" s="1"/>
      <c r="AG54" s="1"/>
      <c r="AH54" s="110">
        <f t="shared" si="11"/>
        <v>-240</v>
      </c>
      <c r="AI54" s="110">
        <f t="shared" si="12"/>
        <v>-4</v>
      </c>
      <c r="AJ54" s="110">
        <f t="shared" si="13"/>
        <v>-4</v>
      </c>
      <c r="AK54" s="110">
        <f t="shared" si="14"/>
        <v>-4</v>
      </c>
      <c r="AL54" s="110">
        <f t="shared" si="15"/>
        <v>-4</v>
      </c>
      <c r="AM54" s="110">
        <f t="shared" si="16"/>
        <v>-4</v>
      </c>
      <c r="AN54" s="110">
        <f t="shared" si="17"/>
        <v>-4</v>
      </c>
    </row>
    <row r="55" spans="1:40" ht="15.75" hidden="1" thickBot="1" x14ac:dyDescent="0.25">
      <c r="A55" s="119">
        <v>52</v>
      </c>
      <c r="B55" s="121">
        <v>7</v>
      </c>
      <c r="C55" s="122" t="s">
        <v>108</v>
      </c>
      <c r="D55" s="119" t="s">
        <v>132</v>
      </c>
      <c r="E55" s="119" t="s">
        <v>238</v>
      </c>
      <c r="F55" s="119" t="s">
        <v>239</v>
      </c>
      <c r="G55" s="119" t="s">
        <v>240</v>
      </c>
      <c r="H55" s="20">
        <v>1727172</v>
      </c>
      <c r="I55" s="20" t="s">
        <v>113</v>
      </c>
      <c r="J55" s="20" t="s">
        <v>118</v>
      </c>
      <c r="K55" s="21" t="s">
        <v>159</v>
      </c>
      <c r="L55" s="112">
        <v>4</v>
      </c>
      <c r="M55" s="108">
        <f t="shared" si="2"/>
        <v>16</v>
      </c>
      <c r="N55" s="108">
        <f t="shared" si="3"/>
        <v>160</v>
      </c>
      <c r="O55" s="108">
        <f t="shared" si="4"/>
        <v>192</v>
      </c>
      <c r="P55" s="108">
        <f t="shared" si="5"/>
        <v>32</v>
      </c>
      <c r="Q55" s="108">
        <f t="shared" si="6"/>
        <v>8</v>
      </c>
      <c r="R55" s="108">
        <f t="shared" si="7"/>
        <v>8</v>
      </c>
      <c r="S55" s="114">
        <f t="shared" si="8"/>
        <v>16</v>
      </c>
      <c r="T55" s="108">
        <f t="shared" si="9"/>
        <v>160</v>
      </c>
      <c r="U55" s="113">
        <f t="shared" si="18"/>
        <v>2.6666666666666665</v>
      </c>
      <c r="V55" s="113">
        <f t="shared" si="18"/>
        <v>2.6666666666666665</v>
      </c>
      <c r="W55" s="113">
        <f t="shared" si="18"/>
        <v>2.6666666666666665</v>
      </c>
      <c r="X55" s="113">
        <f t="shared" si="18"/>
        <v>2.6666666666666665</v>
      </c>
      <c r="Y55" s="109">
        <f t="shared" si="18"/>
        <v>2.6666666666666665</v>
      </c>
      <c r="Z55" s="109">
        <f t="shared" si="18"/>
        <v>2.6666666666666665</v>
      </c>
      <c r="AA55" s="1"/>
      <c r="AB55" s="1"/>
      <c r="AC55" s="1"/>
      <c r="AD55" s="1"/>
      <c r="AE55" s="1"/>
      <c r="AF55" s="1"/>
      <c r="AG55" s="1"/>
      <c r="AH55" s="110">
        <f t="shared" si="11"/>
        <v>-160</v>
      </c>
      <c r="AI55" s="110">
        <f t="shared" si="12"/>
        <v>-2.6666666666666665</v>
      </c>
      <c r="AJ55" s="110">
        <f t="shared" si="13"/>
        <v>-2.6666666666666665</v>
      </c>
      <c r="AK55" s="110">
        <f t="shared" si="14"/>
        <v>-2.6666666666666665</v>
      </c>
      <c r="AL55" s="110">
        <f t="shared" si="15"/>
        <v>-2.6666666666666665</v>
      </c>
      <c r="AM55" s="110">
        <f t="shared" si="16"/>
        <v>-2.6666666666666665</v>
      </c>
      <c r="AN55" s="110">
        <f t="shared" si="17"/>
        <v>-2.6666666666666665</v>
      </c>
    </row>
    <row r="56" spans="1:40" ht="15.75" hidden="1" thickBot="1" x14ac:dyDescent="0.25">
      <c r="A56" s="119">
        <v>53</v>
      </c>
      <c r="B56" s="121">
        <v>7</v>
      </c>
      <c r="C56" s="122" t="s">
        <v>108</v>
      </c>
      <c r="D56" s="119" t="s">
        <v>132</v>
      </c>
      <c r="E56" s="119" t="s">
        <v>241</v>
      </c>
      <c r="F56" s="119" t="s">
        <v>242</v>
      </c>
      <c r="G56" s="119" t="s">
        <v>243</v>
      </c>
      <c r="H56" s="20">
        <v>4176479</v>
      </c>
      <c r="I56" s="20" t="s">
        <v>113</v>
      </c>
      <c r="J56" s="20" t="s">
        <v>118</v>
      </c>
      <c r="K56" s="21" t="s">
        <v>122</v>
      </c>
      <c r="L56" s="112">
        <v>4</v>
      </c>
      <c r="M56" s="108">
        <f t="shared" si="2"/>
        <v>16</v>
      </c>
      <c r="N56" s="108">
        <f t="shared" si="3"/>
        <v>160</v>
      </c>
      <c r="O56" s="108">
        <f t="shared" si="4"/>
        <v>192</v>
      </c>
      <c r="P56" s="108">
        <f t="shared" si="5"/>
        <v>32</v>
      </c>
      <c r="Q56" s="108">
        <f t="shared" si="6"/>
        <v>8</v>
      </c>
      <c r="R56" s="108">
        <f t="shared" si="7"/>
        <v>8</v>
      </c>
      <c r="S56" s="114">
        <f t="shared" si="8"/>
        <v>16</v>
      </c>
      <c r="T56" s="108">
        <f t="shared" si="9"/>
        <v>160</v>
      </c>
      <c r="U56" s="113">
        <f t="shared" si="18"/>
        <v>2.6666666666666665</v>
      </c>
      <c r="V56" s="113">
        <f t="shared" si="18"/>
        <v>2.6666666666666665</v>
      </c>
      <c r="W56" s="113">
        <f t="shared" si="18"/>
        <v>2.6666666666666665</v>
      </c>
      <c r="X56" s="113">
        <f t="shared" si="18"/>
        <v>2.6666666666666665</v>
      </c>
      <c r="Y56" s="109">
        <f t="shared" si="18"/>
        <v>2.6666666666666665</v>
      </c>
      <c r="Z56" s="109">
        <f t="shared" si="18"/>
        <v>2.6666666666666665</v>
      </c>
      <c r="AA56" s="1"/>
      <c r="AB56" s="1"/>
      <c r="AC56" s="1"/>
      <c r="AD56" s="1"/>
      <c r="AE56" s="1"/>
      <c r="AF56" s="1"/>
      <c r="AG56" s="1"/>
      <c r="AH56" s="110">
        <f t="shared" si="11"/>
        <v>-160</v>
      </c>
      <c r="AI56" s="110">
        <f t="shared" si="12"/>
        <v>-2.6666666666666665</v>
      </c>
      <c r="AJ56" s="110">
        <f t="shared" si="13"/>
        <v>-2.6666666666666665</v>
      </c>
      <c r="AK56" s="110">
        <f t="shared" si="14"/>
        <v>-2.6666666666666665</v>
      </c>
      <c r="AL56" s="110">
        <f t="shared" si="15"/>
        <v>-2.6666666666666665</v>
      </c>
      <c r="AM56" s="110">
        <f t="shared" si="16"/>
        <v>-2.6666666666666665</v>
      </c>
      <c r="AN56" s="110">
        <f t="shared" si="17"/>
        <v>-2.6666666666666665</v>
      </c>
    </row>
    <row r="57" spans="1:40" ht="15.75" hidden="1" thickBot="1" x14ac:dyDescent="0.25">
      <c r="A57" s="119">
        <v>54</v>
      </c>
      <c r="B57" s="121">
        <v>7</v>
      </c>
      <c r="C57" s="122" t="s">
        <v>108</v>
      </c>
      <c r="D57" s="119" t="s">
        <v>132</v>
      </c>
      <c r="E57" s="119" t="s">
        <v>244</v>
      </c>
      <c r="F57" s="119" t="s">
        <v>245</v>
      </c>
      <c r="G57" s="119" t="s">
        <v>121</v>
      </c>
      <c r="H57" s="20">
        <v>1713033</v>
      </c>
      <c r="I57" s="20" t="s">
        <v>113</v>
      </c>
      <c r="J57" s="20" t="s">
        <v>114</v>
      </c>
      <c r="K57" s="105" t="s">
        <v>122</v>
      </c>
      <c r="L57" s="112">
        <v>6</v>
      </c>
      <c r="M57" s="108">
        <f t="shared" si="2"/>
        <v>24</v>
      </c>
      <c r="N57" s="108">
        <f t="shared" si="3"/>
        <v>240</v>
      </c>
      <c r="O57" s="108">
        <f t="shared" si="4"/>
        <v>288</v>
      </c>
      <c r="P57" s="108">
        <f t="shared" si="5"/>
        <v>48</v>
      </c>
      <c r="Q57" s="108">
        <f t="shared" si="6"/>
        <v>12</v>
      </c>
      <c r="R57" s="108">
        <f t="shared" si="7"/>
        <v>12</v>
      </c>
      <c r="S57" s="114">
        <f t="shared" si="8"/>
        <v>24</v>
      </c>
      <c r="T57" s="108">
        <f t="shared" si="9"/>
        <v>240</v>
      </c>
      <c r="U57" s="113">
        <f t="shared" si="18"/>
        <v>4</v>
      </c>
      <c r="V57" s="113">
        <f t="shared" si="18"/>
        <v>4</v>
      </c>
      <c r="W57" s="113">
        <f t="shared" si="18"/>
        <v>4</v>
      </c>
      <c r="X57" s="113">
        <f t="shared" si="18"/>
        <v>4</v>
      </c>
      <c r="Y57" s="109">
        <f t="shared" si="18"/>
        <v>4</v>
      </c>
      <c r="Z57" s="109">
        <f t="shared" si="18"/>
        <v>4</v>
      </c>
      <c r="AA57" s="1"/>
      <c r="AB57" s="1"/>
      <c r="AC57" s="1"/>
      <c r="AD57" s="1"/>
      <c r="AE57" s="1"/>
      <c r="AF57" s="1"/>
      <c r="AG57" s="1"/>
      <c r="AH57" s="110">
        <f t="shared" si="11"/>
        <v>-240</v>
      </c>
      <c r="AI57" s="110">
        <f t="shared" si="12"/>
        <v>-4</v>
      </c>
      <c r="AJ57" s="110">
        <f t="shared" si="13"/>
        <v>-4</v>
      </c>
      <c r="AK57" s="110">
        <f t="shared" si="14"/>
        <v>-4</v>
      </c>
      <c r="AL57" s="110">
        <f t="shared" si="15"/>
        <v>-4</v>
      </c>
      <c r="AM57" s="110">
        <f t="shared" si="16"/>
        <v>-4</v>
      </c>
      <c r="AN57" s="110">
        <f t="shared" si="17"/>
        <v>-4</v>
      </c>
    </row>
    <row r="58" spans="1:40" ht="15.75" hidden="1" thickBot="1" x14ac:dyDescent="0.25">
      <c r="A58" s="119">
        <v>55</v>
      </c>
      <c r="B58" s="121">
        <v>8</v>
      </c>
      <c r="C58" s="122" t="s">
        <v>108</v>
      </c>
      <c r="D58" s="119" t="s">
        <v>0</v>
      </c>
      <c r="E58" s="119" t="s">
        <v>246</v>
      </c>
      <c r="F58" s="119" t="s">
        <v>247</v>
      </c>
      <c r="G58" s="119" t="s">
        <v>248</v>
      </c>
      <c r="H58" s="20">
        <v>1938954</v>
      </c>
      <c r="I58" s="20" t="s">
        <v>113</v>
      </c>
      <c r="J58" s="20" t="s">
        <v>118</v>
      </c>
      <c r="K58" s="21" t="s">
        <v>115</v>
      </c>
      <c r="L58" s="112">
        <v>6</v>
      </c>
      <c r="M58" s="108">
        <f t="shared" si="2"/>
        <v>24</v>
      </c>
      <c r="N58" s="108">
        <f t="shared" si="3"/>
        <v>240</v>
      </c>
      <c r="O58" s="108">
        <f t="shared" si="4"/>
        <v>288</v>
      </c>
      <c r="P58" s="108">
        <f t="shared" si="5"/>
        <v>48</v>
      </c>
      <c r="Q58" s="108">
        <f t="shared" si="6"/>
        <v>12</v>
      </c>
      <c r="R58" s="108">
        <f t="shared" si="7"/>
        <v>12</v>
      </c>
      <c r="S58" s="114">
        <f t="shared" si="8"/>
        <v>24</v>
      </c>
      <c r="T58" s="108">
        <f t="shared" si="9"/>
        <v>240</v>
      </c>
      <c r="U58" s="113">
        <f t="shared" si="18"/>
        <v>4</v>
      </c>
      <c r="V58" s="113">
        <f t="shared" si="18"/>
        <v>4</v>
      </c>
      <c r="W58" s="113">
        <f t="shared" si="18"/>
        <v>4</v>
      </c>
      <c r="X58" s="113">
        <f t="shared" si="18"/>
        <v>4</v>
      </c>
      <c r="Y58" s="109">
        <f t="shared" si="18"/>
        <v>4</v>
      </c>
      <c r="Z58" s="109">
        <f t="shared" si="18"/>
        <v>4</v>
      </c>
      <c r="AA58" s="1"/>
      <c r="AB58" s="1"/>
      <c r="AC58" s="1"/>
      <c r="AD58" s="1"/>
      <c r="AE58" s="1"/>
      <c r="AF58" s="1"/>
      <c r="AG58" s="1"/>
      <c r="AH58" s="110">
        <f t="shared" si="11"/>
        <v>-240</v>
      </c>
      <c r="AI58" s="110">
        <f t="shared" si="12"/>
        <v>-4</v>
      </c>
      <c r="AJ58" s="110">
        <f t="shared" si="13"/>
        <v>-4</v>
      </c>
      <c r="AK58" s="110">
        <f t="shared" si="14"/>
        <v>-4</v>
      </c>
      <c r="AL58" s="110">
        <f t="shared" si="15"/>
        <v>-4</v>
      </c>
      <c r="AM58" s="110">
        <f t="shared" si="16"/>
        <v>-4</v>
      </c>
      <c r="AN58" s="110">
        <f t="shared" si="17"/>
        <v>-4</v>
      </c>
    </row>
    <row r="59" spans="1:40" ht="15.75" hidden="1" thickBot="1" x14ac:dyDescent="0.25">
      <c r="A59" s="119">
        <v>56</v>
      </c>
      <c r="B59" s="121">
        <v>8</v>
      </c>
      <c r="C59" s="122" t="s">
        <v>108</v>
      </c>
      <c r="D59" s="119" t="s">
        <v>0</v>
      </c>
      <c r="E59" s="119" t="s">
        <v>249</v>
      </c>
      <c r="F59" s="119" t="s">
        <v>250</v>
      </c>
      <c r="G59" s="119" t="s">
        <v>208</v>
      </c>
      <c r="H59" s="20">
        <v>4176588</v>
      </c>
      <c r="I59" s="20" t="s">
        <v>113</v>
      </c>
      <c r="J59" s="20" t="s">
        <v>118</v>
      </c>
      <c r="K59" s="21" t="s">
        <v>115</v>
      </c>
      <c r="L59" s="112">
        <v>4</v>
      </c>
      <c r="M59" s="108">
        <f t="shared" si="2"/>
        <v>16</v>
      </c>
      <c r="N59" s="108">
        <f t="shared" si="3"/>
        <v>160</v>
      </c>
      <c r="O59" s="108">
        <f t="shared" si="4"/>
        <v>192</v>
      </c>
      <c r="P59" s="108">
        <f t="shared" si="5"/>
        <v>32</v>
      </c>
      <c r="Q59" s="108">
        <f t="shared" si="6"/>
        <v>8</v>
      </c>
      <c r="R59" s="108">
        <f t="shared" si="7"/>
        <v>8</v>
      </c>
      <c r="S59" s="114">
        <f t="shared" si="8"/>
        <v>16</v>
      </c>
      <c r="T59" s="108">
        <f t="shared" si="9"/>
        <v>160</v>
      </c>
      <c r="U59" s="113">
        <f t="shared" si="18"/>
        <v>2.6666666666666665</v>
      </c>
      <c r="V59" s="113">
        <f t="shared" si="18"/>
        <v>2.6666666666666665</v>
      </c>
      <c r="W59" s="113">
        <f t="shared" si="18"/>
        <v>2.6666666666666665</v>
      </c>
      <c r="X59" s="113">
        <f t="shared" si="18"/>
        <v>2.6666666666666665</v>
      </c>
      <c r="Y59" s="109">
        <f t="shared" si="18"/>
        <v>2.6666666666666665</v>
      </c>
      <c r="Z59" s="109">
        <f t="shared" si="18"/>
        <v>2.6666666666666665</v>
      </c>
      <c r="AA59" s="1"/>
      <c r="AB59" s="1"/>
      <c r="AC59" s="1"/>
      <c r="AD59" s="1"/>
      <c r="AE59" s="1"/>
      <c r="AF59" s="1"/>
      <c r="AG59" s="1"/>
      <c r="AH59" s="110">
        <f t="shared" si="11"/>
        <v>-160</v>
      </c>
      <c r="AI59" s="110">
        <f t="shared" si="12"/>
        <v>-2.6666666666666665</v>
      </c>
      <c r="AJ59" s="110">
        <f t="shared" si="13"/>
        <v>-2.6666666666666665</v>
      </c>
      <c r="AK59" s="110">
        <f t="shared" si="14"/>
        <v>-2.6666666666666665</v>
      </c>
      <c r="AL59" s="110">
        <f t="shared" si="15"/>
        <v>-2.6666666666666665</v>
      </c>
      <c r="AM59" s="110">
        <f t="shared" si="16"/>
        <v>-2.6666666666666665</v>
      </c>
      <c r="AN59" s="110">
        <f t="shared" si="17"/>
        <v>-2.6666666666666665</v>
      </c>
    </row>
    <row r="60" spans="1:40" ht="15.75" hidden="1" thickBot="1" x14ac:dyDescent="0.25">
      <c r="A60" s="119">
        <v>57</v>
      </c>
      <c r="B60" s="121">
        <v>8</v>
      </c>
      <c r="C60" s="122" t="s">
        <v>108</v>
      </c>
      <c r="D60" s="119" t="s">
        <v>0</v>
      </c>
      <c r="E60" s="119" t="s">
        <v>251</v>
      </c>
      <c r="F60" s="119" t="s">
        <v>252</v>
      </c>
      <c r="G60" s="119" t="s">
        <v>180</v>
      </c>
      <c r="H60" s="20">
        <v>7630037</v>
      </c>
      <c r="I60" s="20" t="s">
        <v>113</v>
      </c>
      <c r="J60" s="20" t="s">
        <v>118</v>
      </c>
      <c r="K60" s="21" t="s">
        <v>115</v>
      </c>
      <c r="L60" s="112">
        <v>6</v>
      </c>
      <c r="M60" s="108">
        <f t="shared" si="2"/>
        <v>24</v>
      </c>
      <c r="N60" s="108">
        <f t="shared" si="3"/>
        <v>240</v>
      </c>
      <c r="O60" s="108">
        <f t="shared" si="4"/>
        <v>288</v>
      </c>
      <c r="P60" s="108">
        <f t="shared" si="5"/>
        <v>48</v>
      </c>
      <c r="Q60" s="108">
        <f t="shared" si="6"/>
        <v>12</v>
      </c>
      <c r="R60" s="108">
        <f t="shared" si="7"/>
        <v>12</v>
      </c>
      <c r="S60" s="114">
        <f t="shared" si="8"/>
        <v>24</v>
      </c>
      <c r="T60" s="108">
        <f t="shared" si="9"/>
        <v>240</v>
      </c>
      <c r="U60" s="113">
        <f t="shared" si="18"/>
        <v>4</v>
      </c>
      <c r="V60" s="113">
        <f t="shared" si="18"/>
        <v>4</v>
      </c>
      <c r="W60" s="113">
        <f t="shared" si="18"/>
        <v>4</v>
      </c>
      <c r="X60" s="113">
        <f t="shared" si="18"/>
        <v>4</v>
      </c>
      <c r="Y60" s="109">
        <f t="shared" si="18"/>
        <v>4</v>
      </c>
      <c r="Z60" s="109">
        <f t="shared" si="18"/>
        <v>4</v>
      </c>
      <c r="AA60" s="1"/>
      <c r="AB60" s="1"/>
      <c r="AC60" s="1"/>
      <c r="AD60" s="1"/>
      <c r="AE60" s="1"/>
      <c r="AF60" s="1"/>
      <c r="AG60" s="1"/>
      <c r="AH60" s="110">
        <f t="shared" si="11"/>
        <v>-240</v>
      </c>
      <c r="AI60" s="110">
        <f t="shared" si="12"/>
        <v>-4</v>
      </c>
      <c r="AJ60" s="110">
        <f t="shared" si="13"/>
        <v>-4</v>
      </c>
      <c r="AK60" s="110">
        <f t="shared" si="14"/>
        <v>-4</v>
      </c>
      <c r="AL60" s="110">
        <f t="shared" si="15"/>
        <v>-4</v>
      </c>
      <c r="AM60" s="110">
        <f t="shared" si="16"/>
        <v>-4</v>
      </c>
      <c r="AN60" s="110">
        <f t="shared" si="17"/>
        <v>-4</v>
      </c>
    </row>
    <row r="61" spans="1:40" ht="15.75" hidden="1" thickBot="1" x14ac:dyDescent="0.25">
      <c r="A61" s="119">
        <v>58</v>
      </c>
      <c r="B61" s="121">
        <v>8</v>
      </c>
      <c r="C61" s="122" t="s">
        <v>108</v>
      </c>
      <c r="D61" s="119" t="s">
        <v>209</v>
      </c>
      <c r="E61" s="119" t="s">
        <v>253</v>
      </c>
      <c r="F61" s="119" t="s">
        <v>254</v>
      </c>
      <c r="G61" s="119" t="s">
        <v>231</v>
      </c>
      <c r="H61" s="20">
        <v>1939285</v>
      </c>
      <c r="I61" s="20" t="s">
        <v>113</v>
      </c>
      <c r="J61" s="20" t="s">
        <v>118</v>
      </c>
      <c r="K61" s="21" t="s">
        <v>115</v>
      </c>
      <c r="L61" s="112">
        <v>6</v>
      </c>
      <c r="M61" s="108">
        <f t="shared" si="2"/>
        <v>24</v>
      </c>
      <c r="N61" s="108">
        <f t="shared" si="3"/>
        <v>240</v>
      </c>
      <c r="O61" s="108">
        <f t="shared" si="4"/>
        <v>288</v>
      </c>
      <c r="P61" s="108">
        <f t="shared" si="5"/>
        <v>48</v>
      </c>
      <c r="Q61" s="108">
        <f t="shared" si="6"/>
        <v>12</v>
      </c>
      <c r="R61" s="108">
        <f t="shared" si="7"/>
        <v>12</v>
      </c>
      <c r="S61" s="114">
        <f t="shared" si="8"/>
        <v>24</v>
      </c>
      <c r="T61" s="108">
        <f t="shared" si="9"/>
        <v>240</v>
      </c>
      <c r="U61" s="113">
        <f t="shared" si="18"/>
        <v>4</v>
      </c>
      <c r="V61" s="113">
        <f t="shared" si="18"/>
        <v>4</v>
      </c>
      <c r="W61" s="113">
        <f t="shared" si="18"/>
        <v>4</v>
      </c>
      <c r="X61" s="113">
        <f t="shared" si="18"/>
        <v>4</v>
      </c>
      <c r="Y61" s="109">
        <f t="shared" si="18"/>
        <v>4</v>
      </c>
      <c r="Z61" s="109">
        <f t="shared" si="18"/>
        <v>4</v>
      </c>
      <c r="AA61" s="1"/>
      <c r="AB61" s="1"/>
      <c r="AC61" s="1"/>
      <c r="AD61" s="1"/>
      <c r="AE61" s="1"/>
      <c r="AF61" s="1"/>
      <c r="AG61" s="1"/>
      <c r="AH61" s="110">
        <f t="shared" si="11"/>
        <v>-240</v>
      </c>
      <c r="AI61" s="110">
        <f t="shared" si="12"/>
        <v>-4</v>
      </c>
      <c r="AJ61" s="110">
        <f t="shared" si="13"/>
        <v>-4</v>
      </c>
      <c r="AK61" s="110">
        <f t="shared" si="14"/>
        <v>-4</v>
      </c>
      <c r="AL61" s="110">
        <f t="shared" si="15"/>
        <v>-4</v>
      </c>
      <c r="AM61" s="110">
        <f t="shared" si="16"/>
        <v>-4</v>
      </c>
      <c r="AN61" s="110">
        <f t="shared" si="17"/>
        <v>-4</v>
      </c>
    </row>
    <row r="62" spans="1:40" ht="15.75" hidden="1" thickBot="1" x14ac:dyDescent="0.25">
      <c r="A62" s="119">
        <v>59</v>
      </c>
      <c r="B62" s="121">
        <v>8</v>
      </c>
      <c r="C62" s="122" t="s">
        <v>108</v>
      </c>
      <c r="D62" s="119" t="s">
        <v>209</v>
      </c>
      <c r="E62" s="119" t="s">
        <v>255</v>
      </c>
      <c r="F62" s="119" t="s">
        <v>256</v>
      </c>
      <c r="G62" s="119" t="s">
        <v>257</v>
      </c>
      <c r="H62" s="20">
        <v>1938822</v>
      </c>
      <c r="I62" s="20" t="s">
        <v>113</v>
      </c>
      <c r="J62" s="20" t="s">
        <v>118</v>
      </c>
      <c r="K62" s="105" t="s">
        <v>115</v>
      </c>
      <c r="L62" s="112">
        <v>6</v>
      </c>
      <c r="M62" s="108">
        <f t="shared" si="2"/>
        <v>24</v>
      </c>
      <c r="N62" s="108">
        <f t="shared" si="3"/>
        <v>240</v>
      </c>
      <c r="O62" s="108">
        <f t="shared" si="4"/>
        <v>288</v>
      </c>
      <c r="P62" s="108">
        <f t="shared" si="5"/>
        <v>48</v>
      </c>
      <c r="Q62" s="108">
        <f t="shared" si="6"/>
        <v>12</v>
      </c>
      <c r="R62" s="108">
        <f t="shared" si="7"/>
        <v>12</v>
      </c>
      <c r="S62" s="114">
        <f t="shared" si="8"/>
        <v>24</v>
      </c>
      <c r="T62" s="108">
        <f t="shared" si="9"/>
        <v>240</v>
      </c>
      <c r="U62" s="113">
        <f t="shared" si="18"/>
        <v>4</v>
      </c>
      <c r="V62" s="113">
        <f t="shared" si="18"/>
        <v>4</v>
      </c>
      <c r="W62" s="113">
        <f t="shared" si="18"/>
        <v>4</v>
      </c>
      <c r="X62" s="113">
        <f t="shared" si="18"/>
        <v>4</v>
      </c>
      <c r="Y62" s="109">
        <f t="shared" si="18"/>
        <v>4</v>
      </c>
      <c r="Z62" s="109">
        <f t="shared" si="18"/>
        <v>4</v>
      </c>
      <c r="AA62" s="1"/>
      <c r="AB62" s="1"/>
      <c r="AC62" s="1"/>
      <c r="AD62" s="1"/>
      <c r="AE62" s="1"/>
      <c r="AF62" s="1"/>
      <c r="AG62" s="1"/>
      <c r="AH62" s="110">
        <f t="shared" si="11"/>
        <v>-240</v>
      </c>
      <c r="AI62" s="110">
        <f t="shared" si="12"/>
        <v>-4</v>
      </c>
      <c r="AJ62" s="110">
        <f t="shared" si="13"/>
        <v>-4</v>
      </c>
      <c r="AK62" s="110">
        <f t="shared" si="14"/>
        <v>-4</v>
      </c>
      <c r="AL62" s="110">
        <f t="shared" si="15"/>
        <v>-4</v>
      </c>
      <c r="AM62" s="110">
        <f t="shared" si="16"/>
        <v>-4</v>
      </c>
      <c r="AN62" s="110">
        <f t="shared" si="17"/>
        <v>-4</v>
      </c>
    </row>
    <row r="63" spans="1:40" ht="15.75" hidden="1" thickBot="1" x14ac:dyDescent="0.25">
      <c r="A63" s="119">
        <v>60</v>
      </c>
      <c r="B63" s="121">
        <v>8</v>
      </c>
      <c r="C63" s="122" t="s">
        <v>108</v>
      </c>
      <c r="D63" s="119" t="s">
        <v>132</v>
      </c>
      <c r="E63" s="119" t="s">
        <v>258</v>
      </c>
      <c r="F63" s="119" t="s">
        <v>259</v>
      </c>
      <c r="G63" s="119" t="s">
        <v>131</v>
      </c>
      <c r="H63" s="20">
        <v>1933075</v>
      </c>
      <c r="I63" s="20" t="s">
        <v>113</v>
      </c>
      <c r="J63" s="20" t="s">
        <v>118</v>
      </c>
      <c r="K63" s="105" t="s">
        <v>122</v>
      </c>
      <c r="L63" s="112">
        <v>4</v>
      </c>
      <c r="M63" s="108">
        <f t="shared" si="2"/>
        <v>16</v>
      </c>
      <c r="N63" s="108">
        <f t="shared" si="3"/>
        <v>160</v>
      </c>
      <c r="O63" s="108">
        <f t="shared" si="4"/>
        <v>192</v>
      </c>
      <c r="P63" s="108">
        <f t="shared" si="5"/>
        <v>32</v>
      </c>
      <c r="Q63" s="108">
        <f t="shared" si="6"/>
        <v>8</v>
      </c>
      <c r="R63" s="108">
        <f t="shared" si="7"/>
        <v>8</v>
      </c>
      <c r="S63" s="114">
        <f t="shared" si="8"/>
        <v>16</v>
      </c>
      <c r="T63" s="108">
        <f t="shared" si="9"/>
        <v>160</v>
      </c>
      <c r="U63" s="113">
        <f t="shared" si="18"/>
        <v>2.6666666666666665</v>
      </c>
      <c r="V63" s="113">
        <f t="shared" si="18"/>
        <v>2.6666666666666665</v>
      </c>
      <c r="W63" s="113">
        <f t="shared" si="18"/>
        <v>2.6666666666666665</v>
      </c>
      <c r="X63" s="113">
        <f t="shared" si="18"/>
        <v>2.6666666666666665</v>
      </c>
      <c r="Y63" s="109">
        <f t="shared" si="18"/>
        <v>2.6666666666666665</v>
      </c>
      <c r="Z63" s="109">
        <f t="shared" si="18"/>
        <v>2.6666666666666665</v>
      </c>
      <c r="AA63" s="1"/>
      <c r="AB63" s="1"/>
      <c r="AC63" s="1"/>
      <c r="AD63" s="1"/>
      <c r="AE63" s="1"/>
      <c r="AF63" s="1"/>
      <c r="AG63" s="1"/>
      <c r="AH63" s="110">
        <f t="shared" si="11"/>
        <v>-160</v>
      </c>
      <c r="AI63" s="110">
        <f t="shared" si="12"/>
        <v>-2.6666666666666665</v>
      </c>
      <c r="AJ63" s="110">
        <f t="shared" si="13"/>
        <v>-2.6666666666666665</v>
      </c>
      <c r="AK63" s="110">
        <f t="shared" si="14"/>
        <v>-2.6666666666666665</v>
      </c>
      <c r="AL63" s="110">
        <f t="shared" si="15"/>
        <v>-2.6666666666666665</v>
      </c>
      <c r="AM63" s="110">
        <f t="shared" si="16"/>
        <v>-2.6666666666666665</v>
      </c>
      <c r="AN63" s="110">
        <f t="shared" si="17"/>
        <v>-2.6666666666666665</v>
      </c>
    </row>
    <row r="64" spans="1:40" ht="15.75" hidden="1" thickBot="1" x14ac:dyDescent="0.25">
      <c r="A64" s="119">
        <v>61</v>
      </c>
      <c r="B64" s="121">
        <v>8</v>
      </c>
      <c r="C64" s="122" t="s">
        <v>108</v>
      </c>
      <c r="D64" s="119" t="s">
        <v>109</v>
      </c>
      <c r="E64" s="119" t="s">
        <v>260</v>
      </c>
      <c r="F64" s="119" t="s">
        <v>261</v>
      </c>
      <c r="G64" s="119" t="s">
        <v>262</v>
      </c>
      <c r="H64" s="20">
        <v>1736422</v>
      </c>
      <c r="I64" s="20" t="s">
        <v>113</v>
      </c>
      <c r="J64" s="20" t="s">
        <v>118</v>
      </c>
      <c r="K64" s="21" t="s">
        <v>122</v>
      </c>
      <c r="L64" s="112">
        <v>6</v>
      </c>
      <c r="M64" s="108">
        <f t="shared" si="2"/>
        <v>24</v>
      </c>
      <c r="N64" s="108">
        <f t="shared" si="3"/>
        <v>240</v>
      </c>
      <c r="O64" s="108">
        <f t="shared" si="4"/>
        <v>288</v>
      </c>
      <c r="P64" s="108">
        <f t="shared" si="5"/>
        <v>48</v>
      </c>
      <c r="Q64" s="108">
        <f t="shared" si="6"/>
        <v>12</v>
      </c>
      <c r="R64" s="108">
        <f t="shared" si="7"/>
        <v>12</v>
      </c>
      <c r="S64" s="114">
        <f t="shared" si="8"/>
        <v>24</v>
      </c>
      <c r="T64" s="108">
        <f t="shared" si="9"/>
        <v>240</v>
      </c>
      <c r="U64" s="113">
        <f t="shared" si="18"/>
        <v>4</v>
      </c>
      <c r="V64" s="113">
        <f t="shared" si="18"/>
        <v>4</v>
      </c>
      <c r="W64" s="113">
        <f t="shared" si="18"/>
        <v>4</v>
      </c>
      <c r="X64" s="113">
        <f t="shared" si="18"/>
        <v>4</v>
      </c>
      <c r="Y64" s="109">
        <f t="shared" si="18"/>
        <v>4</v>
      </c>
      <c r="Z64" s="109">
        <f t="shared" si="18"/>
        <v>4</v>
      </c>
      <c r="AA64" s="1"/>
      <c r="AB64" s="1"/>
      <c r="AC64" s="1"/>
      <c r="AD64" s="1"/>
      <c r="AE64" s="1"/>
      <c r="AF64" s="1"/>
      <c r="AG64" s="1"/>
      <c r="AH64" s="110">
        <f t="shared" si="11"/>
        <v>-240</v>
      </c>
      <c r="AI64" s="110">
        <f t="shared" si="12"/>
        <v>-4</v>
      </c>
      <c r="AJ64" s="110">
        <f t="shared" si="13"/>
        <v>-4</v>
      </c>
      <c r="AK64" s="110">
        <f t="shared" si="14"/>
        <v>-4</v>
      </c>
      <c r="AL64" s="110">
        <f t="shared" si="15"/>
        <v>-4</v>
      </c>
      <c r="AM64" s="110">
        <f t="shared" si="16"/>
        <v>-4</v>
      </c>
      <c r="AN64" s="110">
        <f t="shared" si="17"/>
        <v>-4</v>
      </c>
    </row>
    <row r="65" spans="1:40" ht="15.75" hidden="1" thickBot="1" x14ac:dyDescent="0.25">
      <c r="A65" s="119">
        <v>62</v>
      </c>
      <c r="B65" s="121">
        <v>8</v>
      </c>
      <c r="C65" s="122" t="s">
        <v>108</v>
      </c>
      <c r="D65" s="119" t="s">
        <v>209</v>
      </c>
      <c r="E65" s="119" t="s">
        <v>263</v>
      </c>
      <c r="F65" s="119" t="s">
        <v>264</v>
      </c>
      <c r="G65" s="119" t="s">
        <v>224</v>
      </c>
      <c r="H65" s="20">
        <v>3928164</v>
      </c>
      <c r="I65" s="20" t="s">
        <v>113</v>
      </c>
      <c r="J65" s="20" t="s">
        <v>118</v>
      </c>
      <c r="K65" s="21" t="s">
        <v>115</v>
      </c>
      <c r="L65" s="112">
        <v>6</v>
      </c>
      <c r="M65" s="108">
        <f t="shared" si="2"/>
        <v>24</v>
      </c>
      <c r="N65" s="108">
        <f t="shared" si="3"/>
        <v>240</v>
      </c>
      <c r="O65" s="108">
        <f t="shared" si="4"/>
        <v>288</v>
      </c>
      <c r="P65" s="108">
        <f t="shared" si="5"/>
        <v>48</v>
      </c>
      <c r="Q65" s="108">
        <f t="shared" si="6"/>
        <v>12</v>
      </c>
      <c r="R65" s="108">
        <f t="shared" si="7"/>
        <v>12</v>
      </c>
      <c r="S65" s="114">
        <f t="shared" si="8"/>
        <v>24</v>
      </c>
      <c r="T65" s="108">
        <f t="shared" si="9"/>
        <v>240</v>
      </c>
      <c r="U65" s="113">
        <f t="shared" si="18"/>
        <v>4</v>
      </c>
      <c r="V65" s="113">
        <f t="shared" si="18"/>
        <v>4</v>
      </c>
      <c r="W65" s="113">
        <f t="shared" si="18"/>
        <v>4</v>
      </c>
      <c r="X65" s="113">
        <f t="shared" si="18"/>
        <v>4</v>
      </c>
      <c r="Y65" s="109">
        <f t="shared" si="18"/>
        <v>4</v>
      </c>
      <c r="Z65" s="109">
        <f t="shared" si="18"/>
        <v>4</v>
      </c>
      <c r="AA65" s="1"/>
      <c r="AB65" s="1"/>
      <c r="AC65" s="1"/>
      <c r="AD65" s="1"/>
      <c r="AE65" s="1"/>
      <c r="AF65" s="1"/>
      <c r="AG65" s="1"/>
      <c r="AH65" s="110">
        <f t="shared" si="11"/>
        <v>-240</v>
      </c>
      <c r="AI65" s="110">
        <f t="shared" si="12"/>
        <v>-4</v>
      </c>
      <c r="AJ65" s="110">
        <f t="shared" si="13"/>
        <v>-4</v>
      </c>
      <c r="AK65" s="110">
        <f t="shared" si="14"/>
        <v>-4</v>
      </c>
      <c r="AL65" s="110">
        <f t="shared" si="15"/>
        <v>-4</v>
      </c>
      <c r="AM65" s="110">
        <f t="shared" si="16"/>
        <v>-4</v>
      </c>
      <c r="AN65" s="110">
        <f t="shared" si="17"/>
        <v>-4</v>
      </c>
    </row>
    <row r="66" spans="1:40" ht="15.75" hidden="1" thickBot="1" x14ac:dyDescent="0.25">
      <c r="A66" s="119">
        <v>63</v>
      </c>
      <c r="B66" s="121">
        <v>9</v>
      </c>
      <c r="C66" s="122" t="s">
        <v>108</v>
      </c>
      <c r="D66" s="119" t="s">
        <v>209</v>
      </c>
      <c r="E66" s="119" t="s">
        <v>265</v>
      </c>
      <c r="F66" s="119" t="s">
        <v>266</v>
      </c>
      <c r="G66" s="119" t="s">
        <v>267</v>
      </c>
      <c r="H66" s="20">
        <v>1704513</v>
      </c>
      <c r="I66" s="20" t="s">
        <v>268</v>
      </c>
      <c r="J66" s="20" t="s">
        <v>114</v>
      </c>
      <c r="K66" s="105" t="s">
        <v>115</v>
      </c>
      <c r="L66" s="112">
        <v>6</v>
      </c>
      <c r="M66" s="108">
        <f t="shared" si="2"/>
        <v>24</v>
      </c>
      <c r="N66" s="108">
        <f t="shared" si="3"/>
        <v>240</v>
      </c>
      <c r="O66" s="108">
        <f t="shared" si="4"/>
        <v>288</v>
      </c>
      <c r="P66" s="108">
        <f t="shared" si="5"/>
        <v>48</v>
      </c>
      <c r="Q66" s="108">
        <f t="shared" si="6"/>
        <v>12</v>
      </c>
      <c r="R66" s="108">
        <f t="shared" si="7"/>
        <v>12</v>
      </c>
      <c r="S66" s="114">
        <f t="shared" si="8"/>
        <v>24</v>
      </c>
      <c r="T66" s="108">
        <f t="shared" si="9"/>
        <v>240</v>
      </c>
      <c r="U66" s="113">
        <f t="shared" si="18"/>
        <v>4</v>
      </c>
      <c r="V66" s="113">
        <f t="shared" si="18"/>
        <v>4</v>
      </c>
      <c r="W66" s="113">
        <f t="shared" si="18"/>
        <v>4</v>
      </c>
      <c r="X66" s="113">
        <f t="shared" si="18"/>
        <v>4</v>
      </c>
      <c r="Y66" s="109">
        <f t="shared" si="18"/>
        <v>4</v>
      </c>
      <c r="Z66" s="109">
        <f t="shared" si="18"/>
        <v>4</v>
      </c>
      <c r="AA66" s="1"/>
      <c r="AB66" s="1"/>
      <c r="AC66" s="1"/>
      <c r="AD66" s="1"/>
      <c r="AE66" s="1"/>
      <c r="AF66" s="1"/>
      <c r="AG66" s="1"/>
      <c r="AH66" s="110">
        <f t="shared" si="11"/>
        <v>-240</v>
      </c>
      <c r="AI66" s="110">
        <f t="shared" si="12"/>
        <v>-4</v>
      </c>
      <c r="AJ66" s="110">
        <f t="shared" si="13"/>
        <v>-4</v>
      </c>
      <c r="AK66" s="110">
        <f t="shared" si="14"/>
        <v>-4</v>
      </c>
      <c r="AL66" s="110">
        <f t="shared" si="15"/>
        <v>-4</v>
      </c>
      <c r="AM66" s="110">
        <f t="shared" si="16"/>
        <v>-4</v>
      </c>
      <c r="AN66" s="110">
        <f t="shared" si="17"/>
        <v>-4</v>
      </c>
    </row>
    <row r="67" spans="1:40" ht="15.75" hidden="1" thickBot="1" x14ac:dyDescent="0.25">
      <c r="A67" s="119">
        <v>64</v>
      </c>
      <c r="B67" s="121">
        <v>9</v>
      </c>
      <c r="C67" s="122" t="s">
        <v>108</v>
      </c>
      <c r="D67" s="119" t="s">
        <v>209</v>
      </c>
      <c r="E67" s="119" t="s">
        <v>269</v>
      </c>
      <c r="F67" s="119" t="s">
        <v>270</v>
      </c>
      <c r="G67" s="119" t="s">
        <v>271</v>
      </c>
      <c r="H67" s="20">
        <v>5581041</v>
      </c>
      <c r="I67" s="20" t="s">
        <v>113</v>
      </c>
      <c r="J67" s="20" t="s">
        <v>118</v>
      </c>
      <c r="K67" s="21" t="s">
        <v>115</v>
      </c>
      <c r="L67" s="112">
        <v>6</v>
      </c>
      <c r="M67" s="108">
        <f t="shared" si="2"/>
        <v>24</v>
      </c>
      <c r="N67" s="108">
        <f t="shared" si="3"/>
        <v>240</v>
      </c>
      <c r="O67" s="108">
        <f t="shared" si="4"/>
        <v>288</v>
      </c>
      <c r="P67" s="108">
        <f t="shared" si="5"/>
        <v>48</v>
      </c>
      <c r="Q67" s="108">
        <f t="shared" si="6"/>
        <v>12</v>
      </c>
      <c r="R67" s="108">
        <f t="shared" si="7"/>
        <v>12</v>
      </c>
      <c r="S67" s="114">
        <f t="shared" si="8"/>
        <v>24</v>
      </c>
      <c r="T67" s="108">
        <f t="shared" si="9"/>
        <v>240</v>
      </c>
      <c r="U67" s="113">
        <f t="shared" si="18"/>
        <v>4</v>
      </c>
      <c r="V67" s="113">
        <f t="shared" si="18"/>
        <v>4</v>
      </c>
      <c r="W67" s="113">
        <f t="shared" si="18"/>
        <v>4</v>
      </c>
      <c r="X67" s="113">
        <f t="shared" si="18"/>
        <v>4</v>
      </c>
      <c r="Y67" s="109">
        <f t="shared" si="18"/>
        <v>4</v>
      </c>
      <c r="Z67" s="109">
        <f t="shared" si="18"/>
        <v>4</v>
      </c>
      <c r="AA67" s="1"/>
      <c r="AB67" s="1"/>
      <c r="AC67" s="1"/>
      <c r="AD67" s="1"/>
      <c r="AE67" s="1"/>
      <c r="AF67" s="1"/>
      <c r="AG67" s="1"/>
      <c r="AH67" s="110">
        <f t="shared" si="11"/>
        <v>-240</v>
      </c>
      <c r="AI67" s="110">
        <f t="shared" si="12"/>
        <v>-4</v>
      </c>
      <c r="AJ67" s="110">
        <f t="shared" si="13"/>
        <v>-4</v>
      </c>
      <c r="AK67" s="110">
        <f t="shared" si="14"/>
        <v>-4</v>
      </c>
      <c r="AL67" s="110">
        <f t="shared" si="15"/>
        <v>-4</v>
      </c>
      <c r="AM67" s="110">
        <f t="shared" si="16"/>
        <v>-4</v>
      </c>
      <c r="AN67" s="110">
        <f t="shared" si="17"/>
        <v>-4</v>
      </c>
    </row>
    <row r="68" spans="1:40" ht="15.75" hidden="1" thickBot="1" x14ac:dyDescent="0.25">
      <c r="A68" s="119">
        <v>65</v>
      </c>
      <c r="B68" s="121">
        <v>9</v>
      </c>
      <c r="C68" s="122" t="s">
        <v>108</v>
      </c>
      <c r="D68" s="119" t="s">
        <v>209</v>
      </c>
      <c r="E68" s="119" t="s">
        <v>272</v>
      </c>
      <c r="F68" s="119" t="s">
        <v>273</v>
      </c>
      <c r="G68" s="119" t="s">
        <v>274</v>
      </c>
      <c r="H68" s="20">
        <v>4008131</v>
      </c>
      <c r="I68" s="20" t="s">
        <v>113</v>
      </c>
      <c r="J68" s="20" t="s">
        <v>118</v>
      </c>
      <c r="K68" s="21" t="s">
        <v>115</v>
      </c>
      <c r="L68" s="112">
        <v>6</v>
      </c>
      <c r="M68" s="108">
        <f t="shared" si="2"/>
        <v>24</v>
      </c>
      <c r="N68" s="108">
        <f t="shared" si="3"/>
        <v>240</v>
      </c>
      <c r="O68" s="108">
        <f t="shared" si="4"/>
        <v>288</v>
      </c>
      <c r="P68" s="108">
        <f t="shared" si="5"/>
        <v>48</v>
      </c>
      <c r="Q68" s="108">
        <f t="shared" si="6"/>
        <v>12</v>
      </c>
      <c r="R68" s="108">
        <f t="shared" si="7"/>
        <v>12</v>
      </c>
      <c r="S68" s="114">
        <f t="shared" si="8"/>
        <v>24</v>
      </c>
      <c r="T68" s="108">
        <f t="shared" si="9"/>
        <v>240</v>
      </c>
      <c r="U68" s="113">
        <f t="shared" si="18"/>
        <v>4</v>
      </c>
      <c r="V68" s="113">
        <f t="shared" si="18"/>
        <v>4</v>
      </c>
      <c r="W68" s="113">
        <f t="shared" si="18"/>
        <v>4</v>
      </c>
      <c r="X68" s="113">
        <f t="shared" si="18"/>
        <v>4</v>
      </c>
      <c r="Y68" s="109">
        <f t="shared" si="18"/>
        <v>4</v>
      </c>
      <c r="Z68" s="109">
        <f t="shared" si="18"/>
        <v>4</v>
      </c>
      <c r="AA68" s="1"/>
      <c r="AB68" s="1"/>
      <c r="AC68" s="1"/>
      <c r="AD68" s="1"/>
      <c r="AE68" s="1"/>
      <c r="AF68" s="1"/>
      <c r="AG68" s="1"/>
      <c r="AH68" s="110">
        <f t="shared" si="11"/>
        <v>-240</v>
      </c>
      <c r="AI68" s="110">
        <f t="shared" si="12"/>
        <v>-4</v>
      </c>
      <c r="AJ68" s="110">
        <f t="shared" si="13"/>
        <v>-4</v>
      </c>
      <c r="AK68" s="110">
        <f t="shared" si="14"/>
        <v>-4</v>
      </c>
      <c r="AL68" s="110">
        <f t="shared" si="15"/>
        <v>-4</v>
      </c>
      <c r="AM68" s="110">
        <f t="shared" si="16"/>
        <v>-4</v>
      </c>
      <c r="AN68" s="110">
        <f t="shared" si="17"/>
        <v>-4</v>
      </c>
    </row>
    <row r="69" spans="1:40" ht="15.75" hidden="1" thickBot="1" x14ac:dyDescent="0.25">
      <c r="A69" s="119">
        <v>66</v>
      </c>
      <c r="B69" s="121">
        <v>9</v>
      </c>
      <c r="C69" s="122" t="s">
        <v>108</v>
      </c>
      <c r="D69" s="119" t="s">
        <v>209</v>
      </c>
      <c r="E69" s="119" t="s">
        <v>275</v>
      </c>
      <c r="F69" s="119" t="s">
        <v>276</v>
      </c>
      <c r="G69" s="119" t="s">
        <v>271</v>
      </c>
      <c r="H69" s="20">
        <v>5581041</v>
      </c>
      <c r="I69" s="20" t="s">
        <v>113</v>
      </c>
      <c r="J69" s="20" t="s">
        <v>118</v>
      </c>
      <c r="K69" s="105" t="s">
        <v>115</v>
      </c>
      <c r="L69" s="112">
        <v>6</v>
      </c>
      <c r="M69" s="108">
        <f t="shared" ref="M69:M75" si="19">L69*4</f>
        <v>24</v>
      </c>
      <c r="N69" s="108">
        <f t="shared" ref="N69:N75" si="20">L69*40</f>
        <v>240</v>
      </c>
      <c r="O69" s="108">
        <f t="shared" ref="O69:O75" si="21">L69*48</f>
        <v>288</v>
      </c>
      <c r="P69" s="108">
        <f t="shared" ref="P69:P75" si="22">O69-N69</f>
        <v>48</v>
      </c>
      <c r="Q69" s="108">
        <f t="shared" ref="Q69:Q75" si="23">M69/2</f>
        <v>12</v>
      </c>
      <c r="R69" s="108">
        <f t="shared" ref="R69:R75" si="24">Q69</f>
        <v>12</v>
      </c>
      <c r="S69" s="114">
        <f t="shared" ref="S69:S75" si="25">P69-(Q69+R69)</f>
        <v>24</v>
      </c>
      <c r="T69" s="108">
        <f t="shared" ref="T69:T75" si="26">N69</f>
        <v>240</v>
      </c>
      <c r="U69" s="113">
        <f t="shared" si="18"/>
        <v>4</v>
      </c>
      <c r="V69" s="113">
        <f t="shared" si="18"/>
        <v>4</v>
      </c>
      <c r="W69" s="113">
        <f t="shared" si="18"/>
        <v>4</v>
      </c>
      <c r="X69" s="113">
        <f t="shared" si="18"/>
        <v>4</v>
      </c>
      <c r="Y69" s="109">
        <f t="shared" si="18"/>
        <v>4</v>
      </c>
      <c r="Z69" s="109">
        <f t="shared" si="18"/>
        <v>4</v>
      </c>
      <c r="AA69" s="1"/>
      <c r="AB69" s="1"/>
      <c r="AC69" s="1"/>
      <c r="AD69" s="1"/>
      <c r="AE69" s="1"/>
      <c r="AF69" s="1"/>
      <c r="AG69" s="1"/>
      <c r="AH69" s="110">
        <f t="shared" ref="AH69:AH75" si="27">AA69-T69</f>
        <v>-240</v>
      </c>
      <c r="AI69" s="110">
        <f t="shared" ref="AI69:AI75" si="28">AB69-U69</f>
        <v>-4</v>
      </c>
      <c r="AJ69" s="110">
        <f t="shared" ref="AJ69:AJ75" si="29">AC69-V69</f>
        <v>-4</v>
      </c>
      <c r="AK69" s="110">
        <f t="shared" ref="AK69:AK75" si="30">AD69-W69</f>
        <v>-4</v>
      </c>
      <c r="AL69" s="110">
        <f t="shared" ref="AL69:AL75" si="31">AE69-X69</f>
        <v>-4</v>
      </c>
      <c r="AM69" s="110">
        <f t="shared" ref="AM69:AM75" si="32">AF69-Y69</f>
        <v>-4</v>
      </c>
      <c r="AN69" s="110">
        <f t="shared" ref="AN69:AN75" si="33">AG69-Z69</f>
        <v>-4</v>
      </c>
    </row>
    <row r="70" spans="1:40" ht="15.75" hidden="1" thickBot="1" x14ac:dyDescent="0.25">
      <c r="A70" s="119">
        <v>67</v>
      </c>
      <c r="B70" s="121">
        <v>9</v>
      </c>
      <c r="C70" s="122" t="s">
        <v>108</v>
      </c>
      <c r="D70" s="119" t="s">
        <v>209</v>
      </c>
      <c r="E70" s="119" t="s">
        <v>277</v>
      </c>
      <c r="F70" s="119" t="s">
        <v>278</v>
      </c>
      <c r="G70" s="119" t="s">
        <v>279</v>
      </c>
      <c r="H70" s="20">
        <v>3478589</v>
      </c>
      <c r="I70" s="20" t="s">
        <v>113</v>
      </c>
      <c r="J70" s="20" t="s">
        <v>118</v>
      </c>
      <c r="K70" s="21" t="s">
        <v>115</v>
      </c>
      <c r="L70" s="112">
        <v>6</v>
      </c>
      <c r="M70" s="108">
        <f t="shared" si="19"/>
        <v>24</v>
      </c>
      <c r="N70" s="108">
        <f t="shared" si="20"/>
        <v>240</v>
      </c>
      <c r="O70" s="108">
        <f t="shared" si="21"/>
        <v>288</v>
      </c>
      <c r="P70" s="108">
        <f t="shared" si="22"/>
        <v>48</v>
      </c>
      <c r="Q70" s="108">
        <f t="shared" si="23"/>
        <v>12</v>
      </c>
      <c r="R70" s="108">
        <f t="shared" si="24"/>
        <v>12</v>
      </c>
      <c r="S70" s="114">
        <f t="shared" si="25"/>
        <v>24</v>
      </c>
      <c r="T70" s="108">
        <f t="shared" si="26"/>
        <v>240</v>
      </c>
      <c r="U70" s="113">
        <f t="shared" si="18"/>
        <v>4</v>
      </c>
      <c r="V70" s="113">
        <f t="shared" si="18"/>
        <v>4</v>
      </c>
      <c r="W70" s="113">
        <f t="shared" si="18"/>
        <v>4</v>
      </c>
      <c r="X70" s="113">
        <f t="shared" si="18"/>
        <v>4</v>
      </c>
      <c r="Y70" s="109">
        <f t="shared" si="18"/>
        <v>4</v>
      </c>
      <c r="Z70" s="109">
        <f t="shared" si="18"/>
        <v>4</v>
      </c>
      <c r="AA70" s="1"/>
      <c r="AB70" s="1"/>
      <c r="AC70" s="1"/>
      <c r="AD70" s="1"/>
      <c r="AE70" s="1"/>
      <c r="AF70" s="1"/>
      <c r="AG70" s="1"/>
      <c r="AH70" s="110">
        <f t="shared" si="27"/>
        <v>-240</v>
      </c>
      <c r="AI70" s="110">
        <f t="shared" si="28"/>
        <v>-4</v>
      </c>
      <c r="AJ70" s="110">
        <f t="shared" si="29"/>
        <v>-4</v>
      </c>
      <c r="AK70" s="110">
        <f t="shared" si="30"/>
        <v>-4</v>
      </c>
      <c r="AL70" s="110">
        <f t="shared" si="31"/>
        <v>-4</v>
      </c>
      <c r="AM70" s="110">
        <f t="shared" si="32"/>
        <v>-4</v>
      </c>
      <c r="AN70" s="110">
        <f t="shared" si="33"/>
        <v>-4</v>
      </c>
    </row>
    <row r="71" spans="1:40" ht="15.75" hidden="1" thickBot="1" x14ac:dyDescent="0.25">
      <c r="A71" s="119">
        <v>68</v>
      </c>
      <c r="B71" s="121">
        <v>9</v>
      </c>
      <c r="C71" s="122" t="s">
        <v>108</v>
      </c>
      <c r="D71" s="119" t="s">
        <v>209</v>
      </c>
      <c r="E71" s="119" t="s">
        <v>280</v>
      </c>
      <c r="F71" s="119" t="s">
        <v>281</v>
      </c>
      <c r="G71" s="119" t="s">
        <v>282</v>
      </c>
      <c r="H71" s="20">
        <v>4192359</v>
      </c>
      <c r="I71" s="20" t="s">
        <v>113</v>
      </c>
      <c r="J71" s="20" t="s">
        <v>118</v>
      </c>
      <c r="K71" s="105" t="s">
        <v>115</v>
      </c>
      <c r="L71" s="112">
        <v>6</v>
      </c>
      <c r="M71" s="108">
        <f t="shared" si="19"/>
        <v>24</v>
      </c>
      <c r="N71" s="108">
        <f t="shared" si="20"/>
        <v>240</v>
      </c>
      <c r="O71" s="108">
        <f t="shared" si="21"/>
        <v>288</v>
      </c>
      <c r="P71" s="108">
        <f t="shared" si="22"/>
        <v>48</v>
      </c>
      <c r="Q71" s="108">
        <f t="shared" si="23"/>
        <v>12</v>
      </c>
      <c r="R71" s="108">
        <f t="shared" si="24"/>
        <v>12</v>
      </c>
      <c r="S71" s="114">
        <f t="shared" si="25"/>
        <v>24</v>
      </c>
      <c r="T71" s="108">
        <f t="shared" si="26"/>
        <v>240</v>
      </c>
      <c r="U71" s="113">
        <f t="shared" si="18"/>
        <v>4</v>
      </c>
      <c r="V71" s="113">
        <f t="shared" si="18"/>
        <v>4</v>
      </c>
      <c r="W71" s="113">
        <f t="shared" si="18"/>
        <v>4</v>
      </c>
      <c r="X71" s="113">
        <f t="shared" si="18"/>
        <v>4</v>
      </c>
      <c r="Y71" s="109">
        <f t="shared" si="18"/>
        <v>4</v>
      </c>
      <c r="Z71" s="109">
        <f t="shared" si="18"/>
        <v>4</v>
      </c>
      <c r="AA71" s="1"/>
      <c r="AB71" s="1"/>
      <c r="AC71" s="1"/>
      <c r="AD71" s="1"/>
      <c r="AE71" s="1"/>
      <c r="AF71" s="1"/>
      <c r="AG71" s="1"/>
      <c r="AH71" s="110">
        <f t="shared" si="27"/>
        <v>-240</v>
      </c>
      <c r="AI71" s="110">
        <f t="shared" si="28"/>
        <v>-4</v>
      </c>
      <c r="AJ71" s="110">
        <f t="shared" si="29"/>
        <v>-4</v>
      </c>
      <c r="AK71" s="110">
        <f t="shared" si="30"/>
        <v>-4</v>
      </c>
      <c r="AL71" s="110">
        <f t="shared" si="31"/>
        <v>-4</v>
      </c>
      <c r="AM71" s="110">
        <f t="shared" si="32"/>
        <v>-4</v>
      </c>
      <c r="AN71" s="110">
        <f t="shared" si="33"/>
        <v>-4</v>
      </c>
    </row>
    <row r="72" spans="1:40" ht="15.75" hidden="1" thickBot="1" x14ac:dyDescent="0.25">
      <c r="A72" s="119">
        <v>69</v>
      </c>
      <c r="B72" s="121">
        <v>9</v>
      </c>
      <c r="C72" s="122" t="s">
        <v>108</v>
      </c>
      <c r="D72" s="119" t="s">
        <v>109</v>
      </c>
      <c r="E72" s="119" t="s">
        <v>283</v>
      </c>
      <c r="F72" s="119" t="s">
        <v>284</v>
      </c>
      <c r="G72" s="119" t="s">
        <v>285</v>
      </c>
      <c r="H72" s="20">
        <v>5595206</v>
      </c>
      <c r="I72" s="20" t="s">
        <v>113</v>
      </c>
      <c r="J72" s="20" t="s">
        <v>118</v>
      </c>
      <c r="K72" s="21" t="s">
        <v>115</v>
      </c>
      <c r="L72" s="112">
        <v>6</v>
      </c>
      <c r="M72" s="108">
        <f t="shared" si="19"/>
        <v>24</v>
      </c>
      <c r="N72" s="108">
        <f t="shared" si="20"/>
        <v>240</v>
      </c>
      <c r="O72" s="108">
        <f t="shared" si="21"/>
        <v>288</v>
      </c>
      <c r="P72" s="108">
        <f t="shared" si="22"/>
        <v>48</v>
      </c>
      <c r="Q72" s="108">
        <f t="shared" si="23"/>
        <v>12</v>
      </c>
      <c r="R72" s="108">
        <f t="shared" si="24"/>
        <v>12</v>
      </c>
      <c r="S72" s="114">
        <f t="shared" si="25"/>
        <v>24</v>
      </c>
      <c r="T72" s="108">
        <f t="shared" si="26"/>
        <v>240</v>
      </c>
      <c r="U72" s="113">
        <f t="shared" si="18"/>
        <v>4</v>
      </c>
      <c r="V72" s="113">
        <f t="shared" si="18"/>
        <v>4</v>
      </c>
      <c r="W72" s="113">
        <f t="shared" si="18"/>
        <v>4</v>
      </c>
      <c r="X72" s="113">
        <f t="shared" si="18"/>
        <v>4</v>
      </c>
      <c r="Y72" s="109">
        <f t="shared" si="18"/>
        <v>4</v>
      </c>
      <c r="Z72" s="109">
        <f t="shared" si="18"/>
        <v>4</v>
      </c>
      <c r="AA72" s="1"/>
      <c r="AB72" s="1"/>
      <c r="AC72" s="1"/>
      <c r="AD72" s="1"/>
      <c r="AE72" s="1"/>
      <c r="AF72" s="1"/>
      <c r="AG72" s="1"/>
      <c r="AH72" s="110">
        <f t="shared" si="27"/>
        <v>-240</v>
      </c>
      <c r="AI72" s="110">
        <f t="shared" si="28"/>
        <v>-4</v>
      </c>
      <c r="AJ72" s="110">
        <f t="shared" si="29"/>
        <v>-4</v>
      </c>
      <c r="AK72" s="110">
        <f t="shared" si="30"/>
        <v>-4</v>
      </c>
      <c r="AL72" s="110">
        <f t="shared" si="31"/>
        <v>-4</v>
      </c>
      <c r="AM72" s="110">
        <f t="shared" si="32"/>
        <v>-4</v>
      </c>
      <c r="AN72" s="110">
        <f t="shared" si="33"/>
        <v>-4</v>
      </c>
    </row>
    <row r="73" spans="1:40" ht="15.75" hidden="1" thickBot="1" x14ac:dyDescent="0.25">
      <c r="A73" s="119">
        <v>70</v>
      </c>
      <c r="B73" s="121">
        <v>9</v>
      </c>
      <c r="C73" s="122" t="s">
        <v>108</v>
      </c>
      <c r="D73" s="119" t="s">
        <v>209</v>
      </c>
      <c r="E73" s="119" t="s">
        <v>286</v>
      </c>
      <c r="F73" s="119" t="s">
        <v>287</v>
      </c>
      <c r="G73" s="119" t="s">
        <v>288</v>
      </c>
      <c r="H73" s="20">
        <v>5581067</v>
      </c>
      <c r="I73" s="20" t="s">
        <v>113</v>
      </c>
      <c r="J73" s="20" t="s">
        <v>118</v>
      </c>
      <c r="K73" s="21" t="s">
        <v>115</v>
      </c>
      <c r="L73" s="112">
        <v>6</v>
      </c>
      <c r="M73" s="108">
        <f t="shared" si="19"/>
        <v>24</v>
      </c>
      <c r="N73" s="108">
        <f t="shared" si="20"/>
        <v>240</v>
      </c>
      <c r="O73" s="108">
        <f t="shared" si="21"/>
        <v>288</v>
      </c>
      <c r="P73" s="108">
        <f t="shared" si="22"/>
        <v>48</v>
      </c>
      <c r="Q73" s="108">
        <f t="shared" si="23"/>
        <v>12</v>
      </c>
      <c r="R73" s="108">
        <f t="shared" si="24"/>
        <v>12</v>
      </c>
      <c r="S73" s="114">
        <f t="shared" si="25"/>
        <v>24</v>
      </c>
      <c r="T73" s="108">
        <f t="shared" si="26"/>
        <v>240</v>
      </c>
      <c r="U73" s="113">
        <f t="shared" si="18"/>
        <v>4</v>
      </c>
      <c r="V73" s="113">
        <f t="shared" si="18"/>
        <v>4</v>
      </c>
      <c r="W73" s="113">
        <f t="shared" si="18"/>
        <v>4</v>
      </c>
      <c r="X73" s="113">
        <f t="shared" si="18"/>
        <v>4</v>
      </c>
      <c r="Y73" s="109">
        <f t="shared" si="18"/>
        <v>4</v>
      </c>
      <c r="Z73" s="109">
        <f t="shared" si="18"/>
        <v>4</v>
      </c>
      <c r="AA73" s="1"/>
      <c r="AB73" s="1"/>
      <c r="AC73" s="1"/>
      <c r="AD73" s="1"/>
      <c r="AE73" s="1"/>
      <c r="AF73" s="1"/>
      <c r="AG73" s="1"/>
      <c r="AH73" s="110">
        <f t="shared" si="27"/>
        <v>-240</v>
      </c>
      <c r="AI73" s="110">
        <f t="shared" si="28"/>
        <v>-4</v>
      </c>
      <c r="AJ73" s="110">
        <f t="shared" si="29"/>
        <v>-4</v>
      </c>
      <c r="AK73" s="110">
        <f t="shared" si="30"/>
        <v>-4</v>
      </c>
      <c r="AL73" s="110">
        <f t="shared" si="31"/>
        <v>-4</v>
      </c>
      <c r="AM73" s="110">
        <f t="shared" si="32"/>
        <v>-4</v>
      </c>
      <c r="AN73" s="110">
        <f t="shared" si="33"/>
        <v>-4</v>
      </c>
    </row>
    <row r="74" spans="1:40" ht="15.75" hidden="1" thickBot="1" x14ac:dyDescent="0.25">
      <c r="A74" s="119">
        <v>71</v>
      </c>
      <c r="B74" s="121">
        <v>9</v>
      </c>
      <c r="C74" s="122" t="s">
        <v>108</v>
      </c>
      <c r="D74" s="119" t="s">
        <v>209</v>
      </c>
      <c r="E74" s="119" t="s">
        <v>289</v>
      </c>
      <c r="F74" s="119" t="s">
        <v>290</v>
      </c>
      <c r="G74" s="119" t="s">
        <v>291</v>
      </c>
      <c r="H74" s="20">
        <v>5590126</v>
      </c>
      <c r="I74" s="20" t="s">
        <v>113</v>
      </c>
      <c r="J74" s="20" t="s">
        <v>118</v>
      </c>
      <c r="K74" s="21" t="s">
        <v>115</v>
      </c>
      <c r="L74" s="112">
        <v>6</v>
      </c>
      <c r="M74" s="108">
        <f t="shared" si="19"/>
        <v>24</v>
      </c>
      <c r="N74" s="108">
        <f t="shared" si="20"/>
        <v>240</v>
      </c>
      <c r="O74" s="108">
        <f t="shared" si="21"/>
        <v>288</v>
      </c>
      <c r="P74" s="108">
        <f t="shared" si="22"/>
        <v>48</v>
      </c>
      <c r="Q74" s="108">
        <f t="shared" si="23"/>
        <v>12</v>
      </c>
      <c r="R74" s="108">
        <f t="shared" si="24"/>
        <v>12</v>
      </c>
      <c r="S74" s="114">
        <f t="shared" si="25"/>
        <v>24</v>
      </c>
      <c r="T74" s="108">
        <f t="shared" si="26"/>
        <v>240</v>
      </c>
      <c r="U74" s="113">
        <f t="shared" si="18"/>
        <v>4</v>
      </c>
      <c r="V74" s="113">
        <f t="shared" si="18"/>
        <v>4</v>
      </c>
      <c r="W74" s="113">
        <f t="shared" si="18"/>
        <v>4</v>
      </c>
      <c r="X74" s="113">
        <f t="shared" si="18"/>
        <v>4</v>
      </c>
      <c r="Y74" s="109">
        <f t="shared" si="18"/>
        <v>4</v>
      </c>
      <c r="Z74" s="109">
        <f t="shared" si="18"/>
        <v>4</v>
      </c>
      <c r="AA74" s="1"/>
      <c r="AB74" s="1"/>
      <c r="AC74" s="1"/>
      <c r="AD74" s="1"/>
      <c r="AE74" s="1"/>
      <c r="AF74" s="1"/>
      <c r="AG74" s="1"/>
      <c r="AH74" s="110">
        <f t="shared" si="27"/>
        <v>-240</v>
      </c>
      <c r="AI74" s="110">
        <f t="shared" si="28"/>
        <v>-4</v>
      </c>
      <c r="AJ74" s="110">
        <f t="shared" si="29"/>
        <v>-4</v>
      </c>
      <c r="AK74" s="110">
        <f t="shared" si="30"/>
        <v>-4</v>
      </c>
      <c r="AL74" s="110">
        <f t="shared" si="31"/>
        <v>-4</v>
      </c>
      <c r="AM74" s="110">
        <f t="shared" si="32"/>
        <v>-4</v>
      </c>
      <c r="AN74" s="110">
        <f t="shared" si="33"/>
        <v>-4</v>
      </c>
    </row>
    <row r="75" spans="1:40" ht="15.75" hidden="1" thickBot="1" x14ac:dyDescent="0.25">
      <c r="A75" s="119">
        <v>72</v>
      </c>
      <c r="B75" s="121">
        <v>10</v>
      </c>
      <c r="C75" s="122" t="s">
        <v>108</v>
      </c>
      <c r="D75" s="119" t="s">
        <v>209</v>
      </c>
      <c r="E75" s="119" t="s">
        <v>292</v>
      </c>
      <c r="F75" s="119" t="s">
        <v>293</v>
      </c>
      <c r="G75" s="119" t="s">
        <v>294</v>
      </c>
      <c r="H75" s="20">
        <v>5635460</v>
      </c>
      <c r="I75" s="20" t="s">
        <v>113</v>
      </c>
      <c r="J75" s="20" t="s">
        <v>118</v>
      </c>
      <c r="K75" s="21" t="s">
        <v>122</v>
      </c>
      <c r="L75" s="112">
        <v>10</v>
      </c>
      <c r="M75" s="108">
        <f t="shared" si="19"/>
        <v>40</v>
      </c>
      <c r="N75" s="108">
        <f t="shared" si="20"/>
        <v>400</v>
      </c>
      <c r="O75" s="108">
        <f t="shared" si="21"/>
        <v>480</v>
      </c>
      <c r="P75" s="108">
        <f t="shared" si="22"/>
        <v>80</v>
      </c>
      <c r="Q75" s="108">
        <f t="shared" si="23"/>
        <v>20</v>
      </c>
      <c r="R75" s="108">
        <f t="shared" si="24"/>
        <v>20</v>
      </c>
      <c r="S75" s="114">
        <f t="shared" si="25"/>
        <v>40</v>
      </c>
      <c r="T75" s="108">
        <f t="shared" si="26"/>
        <v>400</v>
      </c>
      <c r="U75" s="113">
        <f t="shared" si="18"/>
        <v>6.666666666666667</v>
      </c>
      <c r="V75" s="113">
        <f t="shared" si="18"/>
        <v>6.666666666666667</v>
      </c>
      <c r="W75" s="113">
        <f t="shared" si="18"/>
        <v>6.666666666666667</v>
      </c>
      <c r="X75" s="113">
        <f t="shared" si="18"/>
        <v>6.666666666666667</v>
      </c>
      <c r="Y75" s="109">
        <f t="shared" si="18"/>
        <v>6.666666666666667</v>
      </c>
      <c r="Z75" s="109">
        <f t="shared" si="18"/>
        <v>6.666666666666667</v>
      </c>
      <c r="AA75" s="1"/>
      <c r="AB75" s="1"/>
      <c r="AC75" s="1"/>
      <c r="AD75" s="1"/>
      <c r="AE75" s="1"/>
      <c r="AF75" s="1"/>
      <c r="AG75" s="1"/>
      <c r="AH75" s="110">
        <f t="shared" si="27"/>
        <v>-400</v>
      </c>
      <c r="AI75" s="110">
        <f t="shared" si="28"/>
        <v>-6.666666666666667</v>
      </c>
      <c r="AJ75" s="110">
        <f t="shared" si="29"/>
        <v>-6.666666666666667</v>
      </c>
      <c r="AK75" s="110">
        <f t="shared" si="30"/>
        <v>-6.666666666666667</v>
      </c>
      <c r="AL75" s="110">
        <f t="shared" si="31"/>
        <v>-6.666666666666667</v>
      </c>
      <c r="AM75" s="110">
        <f t="shared" si="32"/>
        <v>-6.666666666666667</v>
      </c>
      <c r="AN75" s="110">
        <f t="shared" si="33"/>
        <v>-6.666666666666667</v>
      </c>
    </row>
  </sheetData>
  <mergeCells count="11">
    <mergeCell ref="AH2:AN2"/>
    <mergeCell ref="L2:L3"/>
    <mergeCell ref="M2:M3"/>
    <mergeCell ref="N2:N3"/>
    <mergeCell ref="O2:O3"/>
    <mergeCell ref="P2:P3"/>
    <mergeCell ref="Q2:Q3"/>
    <mergeCell ref="R2:R3"/>
    <mergeCell ref="S2:S3"/>
    <mergeCell ref="T2:Z2"/>
    <mergeCell ref="AA2:AG2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3"/>
  <sheetViews>
    <sheetView tabSelected="1" zoomScale="120" zoomScaleNormal="120" workbookViewId="0">
      <selection activeCell="C6" sqref="C6"/>
    </sheetView>
  </sheetViews>
  <sheetFormatPr defaultColWidth="10.76171875" defaultRowHeight="24.75" customHeight="1" x14ac:dyDescent="0.2"/>
  <cols>
    <col min="1" max="1" width="14.796875" customWidth="1"/>
    <col min="2" max="2" width="39.4140625" customWidth="1"/>
    <col min="3" max="3" width="26.90234375" customWidth="1"/>
    <col min="4" max="4" width="34.03125" customWidth="1"/>
  </cols>
  <sheetData>
    <row r="1" spans="1:6" ht="24.75" customHeight="1" x14ac:dyDescent="0.2">
      <c r="A1" s="8" t="s">
        <v>451</v>
      </c>
      <c r="B1" t="s">
        <v>458</v>
      </c>
    </row>
    <row r="2" spans="1:6" ht="24.75" customHeight="1" x14ac:dyDescent="0.2">
      <c r="A2" s="25" t="s">
        <v>452</v>
      </c>
      <c r="B2" t="s">
        <v>459</v>
      </c>
    </row>
    <row r="3" spans="1:6" ht="24.75" customHeight="1" thickBot="1" x14ac:dyDescent="0.25">
      <c r="A3" s="25" t="s">
        <v>457</v>
      </c>
      <c r="B3" s="200">
        <v>2023</v>
      </c>
    </row>
    <row r="4" spans="1:6" ht="24.75" customHeight="1" thickBot="1" x14ac:dyDescent="0.25">
      <c r="A4" s="195" t="s">
        <v>17</v>
      </c>
      <c r="B4" s="174" t="s">
        <v>18</v>
      </c>
      <c r="C4" s="174" t="s">
        <v>19</v>
      </c>
      <c r="D4" s="175" t="s">
        <v>20</v>
      </c>
      <c r="E4" s="195" t="s">
        <v>450</v>
      </c>
      <c r="F4" s="195" t="s">
        <v>453</v>
      </c>
    </row>
    <row r="5" spans="1:6" ht="24.75" customHeight="1" x14ac:dyDescent="0.2">
      <c r="A5" s="215" t="s">
        <v>21</v>
      </c>
      <c r="B5" s="191" t="s">
        <v>67</v>
      </c>
      <c r="C5" s="186" t="s">
        <v>22</v>
      </c>
      <c r="D5" s="196" t="s">
        <v>23</v>
      </c>
      <c r="E5" s="187">
        <v>240</v>
      </c>
      <c r="F5" s="197">
        <v>44998</v>
      </c>
    </row>
    <row r="6" spans="1:6" ht="24.75" customHeight="1" x14ac:dyDescent="0.2">
      <c r="A6" s="216"/>
      <c r="B6" s="170" t="s">
        <v>68</v>
      </c>
      <c r="C6" s="171" t="s">
        <v>24</v>
      </c>
      <c r="D6" s="176" t="s">
        <v>25</v>
      </c>
      <c r="E6" s="179">
        <v>8</v>
      </c>
      <c r="F6" s="179"/>
    </row>
    <row r="7" spans="1:6" ht="24.75" customHeight="1" x14ac:dyDescent="0.2">
      <c r="A7" s="216"/>
      <c r="B7" s="170" t="s">
        <v>69</v>
      </c>
      <c r="C7" s="171" t="s">
        <v>26</v>
      </c>
      <c r="D7" s="176" t="s">
        <v>27</v>
      </c>
      <c r="E7" s="179"/>
      <c r="F7" s="179"/>
    </row>
    <row r="8" spans="1:6" ht="24.75" customHeight="1" x14ac:dyDescent="0.2">
      <c r="A8" s="216"/>
      <c r="B8" s="170" t="s">
        <v>70</v>
      </c>
      <c r="C8" s="171" t="s">
        <v>28</v>
      </c>
      <c r="D8" s="177"/>
      <c r="E8" s="179"/>
      <c r="F8" s="179"/>
    </row>
    <row r="9" spans="1:6" ht="24.75" customHeight="1" x14ac:dyDescent="0.2">
      <c r="A9" s="216"/>
      <c r="B9" s="170" t="s">
        <v>71</v>
      </c>
      <c r="C9" s="171" t="s">
        <v>29</v>
      </c>
      <c r="D9" s="177"/>
      <c r="E9" s="179"/>
      <c r="F9" s="179"/>
    </row>
    <row r="10" spans="1:6" ht="24.75" customHeight="1" x14ac:dyDescent="0.2">
      <c r="A10" s="216"/>
      <c r="B10" s="170" t="s">
        <v>72</v>
      </c>
      <c r="C10" s="172"/>
      <c r="D10" s="177"/>
      <c r="E10" s="179"/>
      <c r="F10" s="179"/>
    </row>
    <row r="11" spans="1:6" ht="24.75" customHeight="1" x14ac:dyDescent="0.2">
      <c r="A11" s="216"/>
      <c r="B11" s="170" t="s">
        <v>73</v>
      </c>
      <c r="C11" s="172"/>
      <c r="D11" s="177"/>
      <c r="E11" s="179"/>
      <c r="F11" s="179"/>
    </row>
    <row r="12" spans="1:6" ht="24.75" customHeight="1" thickBot="1" x14ac:dyDescent="0.25">
      <c r="A12" s="217"/>
      <c r="B12" s="192" t="s">
        <v>74</v>
      </c>
      <c r="C12" s="193"/>
      <c r="D12" s="198"/>
      <c r="E12" s="180"/>
      <c r="F12" s="180"/>
    </row>
    <row r="13" spans="1:6" ht="24.75" customHeight="1" x14ac:dyDescent="0.2">
      <c r="A13" s="215" t="s">
        <v>30</v>
      </c>
      <c r="B13" s="191" t="s">
        <v>75</v>
      </c>
      <c r="C13" s="186" t="s">
        <v>31</v>
      </c>
      <c r="D13" s="181" t="s">
        <v>32</v>
      </c>
      <c r="E13" s="187"/>
      <c r="F13" s="187"/>
    </row>
    <row r="14" spans="1:6" ht="24.75" customHeight="1" x14ac:dyDescent="0.2">
      <c r="A14" s="216"/>
      <c r="B14" s="170" t="s">
        <v>76</v>
      </c>
      <c r="C14" s="171" t="s">
        <v>33</v>
      </c>
      <c r="D14" s="182" t="s">
        <v>34</v>
      </c>
      <c r="E14" s="179"/>
      <c r="F14" s="179"/>
    </row>
    <row r="15" spans="1:6" ht="24.75" customHeight="1" x14ac:dyDescent="0.2">
      <c r="A15" s="216"/>
      <c r="B15" s="170" t="s">
        <v>77</v>
      </c>
      <c r="C15" s="171" t="s">
        <v>35</v>
      </c>
      <c r="D15" s="182" t="s">
        <v>36</v>
      </c>
      <c r="E15" s="179"/>
      <c r="F15" s="179"/>
    </row>
    <row r="16" spans="1:6" ht="24.75" customHeight="1" x14ac:dyDescent="0.2">
      <c r="A16" s="216"/>
      <c r="B16" s="170" t="s">
        <v>78</v>
      </c>
      <c r="C16" s="171" t="s">
        <v>37</v>
      </c>
      <c r="D16" s="182" t="s">
        <v>38</v>
      </c>
      <c r="E16" s="179"/>
      <c r="F16" s="179"/>
    </row>
    <row r="17" spans="1:6" ht="24.75" customHeight="1" x14ac:dyDescent="0.2">
      <c r="A17" s="216"/>
      <c r="B17" s="170" t="s">
        <v>79</v>
      </c>
      <c r="C17" s="171" t="s">
        <v>39</v>
      </c>
      <c r="D17" s="178"/>
      <c r="E17" s="179"/>
      <c r="F17" s="179"/>
    </row>
    <row r="18" spans="1:6" ht="24.75" customHeight="1" x14ac:dyDescent="0.2">
      <c r="A18" s="216"/>
      <c r="B18" s="170" t="s">
        <v>80</v>
      </c>
      <c r="C18" s="172"/>
      <c r="D18" s="178"/>
      <c r="E18" s="179"/>
      <c r="F18" s="179"/>
    </row>
    <row r="19" spans="1:6" ht="24.75" customHeight="1" thickBot="1" x14ac:dyDescent="0.25">
      <c r="A19" s="217"/>
      <c r="B19" s="188"/>
      <c r="C19" s="193"/>
      <c r="D19" s="194"/>
      <c r="E19" s="180"/>
      <c r="F19" s="180"/>
    </row>
    <row r="20" spans="1:6" ht="24.75" customHeight="1" x14ac:dyDescent="0.2">
      <c r="A20" s="218" t="s">
        <v>40</v>
      </c>
      <c r="B20" s="191" t="s">
        <v>81</v>
      </c>
      <c r="C20" s="186" t="s">
        <v>41</v>
      </c>
      <c r="D20" s="218" t="s">
        <v>42</v>
      </c>
      <c r="E20" s="187"/>
      <c r="F20" s="187"/>
    </row>
    <row r="21" spans="1:6" ht="24.75" customHeight="1" x14ac:dyDescent="0.2">
      <c r="A21" s="219"/>
      <c r="B21" s="170" t="s">
        <v>82</v>
      </c>
      <c r="C21" s="171" t="s">
        <v>31</v>
      </c>
      <c r="D21" s="219"/>
      <c r="E21" s="179"/>
      <c r="F21" s="179"/>
    </row>
    <row r="22" spans="1:6" ht="24.75" customHeight="1" x14ac:dyDescent="0.2">
      <c r="A22" s="219"/>
      <c r="B22" s="170" t="s">
        <v>83</v>
      </c>
      <c r="C22" s="171" t="s">
        <v>24</v>
      </c>
      <c r="D22" s="219"/>
      <c r="E22" s="179"/>
      <c r="F22" s="179"/>
    </row>
    <row r="23" spans="1:6" ht="24.75" customHeight="1" x14ac:dyDescent="0.2">
      <c r="A23" s="219"/>
      <c r="B23" s="170" t="s">
        <v>84</v>
      </c>
      <c r="C23" s="171" t="s">
        <v>43</v>
      </c>
      <c r="D23" s="219"/>
      <c r="E23" s="179"/>
      <c r="F23" s="179"/>
    </row>
    <row r="24" spans="1:6" ht="24.75" customHeight="1" x14ac:dyDescent="0.2">
      <c r="A24" s="219"/>
      <c r="B24" s="170" t="s">
        <v>85</v>
      </c>
      <c r="C24" s="171" t="s">
        <v>44</v>
      </c>
      <c r="D24" s="219"/>
      <c r="E24" s="179"/>
      <c r="F24" s="179"/>
    </row>
    <row r="25" spans="1:6" ht="24.75" customHeight="1" x14ac:dyDescent="0.2">
      <c r="A25" s="219"/>
      <c r="B25" s="170" t="s">
        <v>86</v>
      </c>
      <c r="C25" s="172"/>
      <c r="D25" s="219"/>
      <c r="E25" s="179"/>
      <c r="F25" s="179"/>
    </row>
    <row r="26" spans="1:6" ht="24.75" customHeight="1" x14ac:dyDescent="0.2">
      <c r="A26" s="219"/>
      <c r="B26" s="170" t="s">
        <v>87</v>
      </c>
      <c r="C26" s="172"/>
      <c r="D26" s="219"/>
      <c r="E26" s="179"/>
      <c r="F26" s="179"/>
    </row>
    <row r="27" spans="1:6" ht="24.75" customHeight="1" thickBot="1" x14ac:dyDescent="0.25">
      <c r="A27" s="220"/>
      <c r="B27" s="188"/>
      <c r="C27" s="193"/>
      <c r="D27" s="220"/>
      <c r="E27" s="180"/>
      <c r="F27" s="180"/>
    </row>
    <row r="28" spans="1:6" ht="33" customHeight="1" x14ac:dyDescent="0.2">
      <c r="A28" s="215" t="s">
        <v>45</v>
      </c>
      <c r="B28" s="191" t="s">
        <v>88</v>
      </c>
      <c r="C28" s="186" t="s">
        <v>46</v>
      </c>
      <c r="D28" s="218" t="s">
        <v>47</v>
      </c>
      <c r="E28" s="187">
        <v>8</v>
      </c>
      <c r="F28" s="187"/>
    </row>
    <row r="29" spans="1:6" ht="24.75" customHeight="1" x14ac:dyDescent="0.2">
      <c r="A29" s="216"/>
      <c r="B29" s="170" t="s">
        <v>89</v>
      </c>
      <c r="C29" s="171" t="s">
        <v>22</v>
      </c>
      <c r="D29" s="219"/>
      <c r="E29" s="179"/>
      <c r="F29" s="179"/>
    </row>
    <row r="30" spans="1:6" ht="24.75" customHeight="1" x14ac:dyDescent="0.2">
      <c r="A30" s="216"/>
      <c r="B30" s="170" t="s">
        <v>90</v>
      </c>
      <c r="C30" s="171" t="s">
        <v>48</v>
      </c>
      <c r="D30" s="219"/>
      <c r="E30" s="179"/>
      <c r="F30" s="179"/>
    </row>
    <row r="31" spans="1:6" ht="36.75" customHeight="1" x14ac:dyDescent="0.2">
      <c r="A31" s="216"/>
      <c r="B31" s="170" t="s">
        <v>91</v>
      </c>
      <c r="C31" s="171" t="s">
        <v>49</v>
      </c>
      <c r="D31" s="219"/>
      <c r="E31" s="179"/>
      <c r="F31" s="179"/>
    </row>
    <row r="32" spans="1:6" ht="24.75" customHeight="1" x14ac:dyDescent="0.2">
      <c r="A32" s="216"/>
      <c r="B32" s="170" t="s">
        <v>92</v>
      </c>
      <c r="C32" s="171" t="s">
        <v>50</v>
      </c>
      <c r="D32" s="219"/>
      <c r="E32" s="179"/>
      <c r="F32" s="179"/>
    </row>
    <row r="33" spans="1:6" ht="24.75" customHeight="1" x14ac:dyDescent="0.2">
      <c r="A33" s="216"/>
      <c r="B33" s="170" t="s">
        <v>93</v>
      </c>
      <c r="C33" s="171"/>
      <c r="D33" s="219"/>
      <c r="E33" s="179"/>
      <c r="F33" s="179"/>
    </row>
    <row r="34" spans="1:6" ht="33.75" customHeight="1" thickBot="1" x14ac:dyDescent="0.25">
      <c r="A34" s="217"/>
      <c r="B34" s="192" t="s">
        <v>94</v>
      </c>
      <c r="C34" s="193"/>
      <c r="D34" s="220"/>
      <c r="E34" s="180"/>
      <c r="F34" s="180"/>
    </row>
    <row r="35" spans="1:6" ht="24.75" customHeight="1" x14ac:dyDescent="0.2">
      <c r="A35" s="215" t="s">
        <v>51</v>
      </c>
      <c r="B35" s="221" t="s">
        <v>95</v>
      </c>
      <c r="C35" s="186" t="s">
        <v>52</v>
      </c>
      <c r="D35" s="218" t="s">
        <v>53</v>
      </c>
      <c r="E35" s="187"/>
      <c r="F35" s="187"/>
    </row>
    <row r="36" spans="1:6" ht="24.75" customHeight="1" x14ac:dyDescent="0.2">
      <c r="A36" s="216"/>
      <c r="B36" s="222"/>
      <c r="C36" s="171" t="s">
        <v>24</v>
      </c>
      <c r="D36" s="219"/>
      <c r="E36" s="179"/>
      <c r="F36" s="179"/>
    </row>
    <row r="37" spans="1:6" ht="24.75" customHeight="1" x14ac:dyDescent="0.2">
      <c r="A37" s="216"/>
      <c r="B37" s="222"/>
      <c r="C37" s="171" t="s">
        <v>49</v>
      </c>
      <c r="D37" s="219"/>
      <c r="E37" s="179"/>
      <c r="F37" s="179"/>
    </row>
    <row r="38" spans="1:6" ht="24.75" customHeight="1" thickBot="1" x14ac:dyDescent="0.25">
      <c r="A38" s="217"/>
      <c r="B38" s="223"/>
      <c r="C38" s="189" t="s">
        <v>29</v>
      </c>
      <c r="D38" s="220"/>
      <c r="E38" s="180"/>
      <c r="F38" s="180"/>
    </row>
    <row r="39" spans="1:6" ht="24.75" customHeight="1" x14ac:dyDescent="0.2">
      <c r="A39" s="215" t="s">
        <v>54</v>
      </c>
      <c r="B39" s="185" t="s">
        <v>55</v>
      </c>
      <c r="C39" s="186" t="s">
        <v>29</v>
      </c>
      <c r="D39" s="218" t="s">
        <v>56</v>
      </c>
      <c r="E39" s="187"/>
      <c r="F39" s="187"/>
    </row>
    <row r="40" spans="1:6" ht="24.75" customHeight="1" x14ac:dyDescent="0.2">
      <c r="A40" s="216"/>
      <c r="B40" s="183" t="s">
        <v>57</v>
      </c>
      <c r="C40" s="171" t="s">
        <v>52</v>
      </c>
      <c r="D40" s="219"/>
      <c r="E40" s="179"/>
      <c r="F40" s="179"/>
    </row>
    <row r="41" spans="1:6" ht="24.75" customHeight="1" x14ac:dyDescent="0.2">
      <c r="A41" s="216"/>
      <c r="B41" s="183" t="s">
        <v>58</v>
      </c>
      <c r="C41" s="171" t="s">
        <v>24</v>
      </c>
      <c r="D41" s="219"/>
      <c r="E41" s="179"/>
      <c r="F41" s="179"/>
    </row>
    <row r="42" spans="1:6" ht="24.75" customHeight="1" x14ac:dyDescent="0.2">
      <c r="A42" s="216"/>
      <c r="B42" s="183" t="s">
        <v>59</v>
      </c>
      <c r="C42" s="171" t="s">
        <v>49</v>
      </c>
      <c r="D42" s="219"/>
      <c r="E42" s="179"/>
      <c r="F42" s="179"/>
    </row>
    <row r="43" spans="1:6" ht="24.75" customHeight="1" x14ac:dyDescent="0.2">
      <c r="A43" s="216"/>
      <c r="B43" s="183"/>
      <c r="C43" s="171" t="s">
        <v>31</v>
      </c>
      <c r="D43" s="219"/>
      <c r="E43" s="179"/>
      <c r="F43" s="179"/>
    </row>
    <row r="44" spans="1:6" ht="24.75" customHeight="1" x14ac:dyDescent="0.2">
      <c r="A44" s="216"/>
      <c r="B44" s="173"/>
      <c r="C44" s="171" t="s">
        <v>60</v>
      </c>
      <c r="D44" s="219"/>
      <c r="E44" s="179"/>
      <c r="F44" s="179"/>
    </row>
    <row r="45" spans="1:6" ht="24.75" customHeight="1" thickBot="1" x14ac:dyDescent="0.25">
      <c r="A45" s="217"/>
      <c r="B45" s="190"/>
      <c r="C45" s="189"/>
      <c r="D45" s="220"/>
      <c r="E45" s="180"/>
      <c r="F45" s="180"/>
    </row>
    <row r="46" spans="1:6" ht="24.75" customHeight="1" x14ac:dyDescent="0.2">
      <c r="A46" s="215" t="s">
        <v>61</v>
      </c>
      <c r="B46" s="185" t="s">
        <v>62</v>
      </c>
      <c r="C46" s="186" t="s">
        <v>44</v>
      </c>
      <c r="D46" s="218" t="s">
        <v>63</v>
      </c>
      <c r="E46" s="187">
        <v>4</v>
      </c>
      <c r="F46" s="187"/>
    </row>
    <row r="47" spans="1:6" ht="24.75" customHeight="1" x14ac:dyDescent="0.2">
      <c r="A47" s="216"/>
      <c r="B47" s="183" t="s">
        <v>64</v>
      </c>
      <c r="C47" s="171" t="s">
        <v>65</v>
      </c>
      <c r="D47" s="219"/>
      <c r="E47" s="179">
        <v>4</v>
      </c>
      <c r="F47" s="179"/>
    </row>
    <row r="48" spans="1:6" ht="24.75" customHeight="1" x14ac:dyDescent="0.2">
      <c r="A48" s="216"/>
      <c r="B48" s="183" t="s">
        <v>66</v>
      </c>
      <c r="C48" s="171" t="s">
        <v>29</v>
      </c>
      <c r="D48" s="219"/>
      <c r="E48" s="179"/>
      <c r="F48" s="179"/>
    </row>
    <row r="49" spans="1:6" ht="24.75" customHeight="1" thickBot="1" x14ac:dyDescent="0.25">
      <c r="A49" s="217"/>
      <c r="B49" s="188"/>
      <c r="C49" s="189" t="s">
        <v>49</v>
      </c>
      <c r="D49" s="220"/>
      <c r="E49" s="180"/>
      <c r="F49" s="180"/>
    </row>
    <row r="50" spans="1:6" ht="24.75" customHeight="1" thickBot="1" x14ac:dyDescent="0.25">
      <c r="D50" s="201" t="s">
        <v>455</v>
      </c>
      <c r="E50" s="202">
        <f>SUM(E5:E49)</f>
        <v>264</v>
      </c>
    </row>
    <row r="51" spans="1:6" ht="24.75" customHeight="1" x14ac:dyDescent="0.2">
      <c r="D51" s="9"/>
    </row>
    <row r="52" spans="1:6" ht="24.75" customHeight="1" x14ac:dyDescent="0.2">
      <c r="D52" s="9"/>
    </row>
    <row r="53" spans="1:6" ht="24.75" customHeight="1" x14ac:dyDescent="0.2">
      <c r="D53" s="9"/>
    </row>
  </sheetData>
  <mergeCells count="13">
    <mergeCell ref="A46:A49"/>
    <mergeCell ref="D46:D49"/>
    <mergeCell ref="A5:A12"/>
    <mergeCell ref="A13:A19"/>
    <mergeCell ref="A20:A27"/>
    <mergeCell ref="D20:D27"/>
    <mergeCell ref="A28:A34"/>
    <mergeCell ref="D28:D34"/>
    <mergeCell ref="A35:A38"/>
    <mergeCell ref="B35:B38"/>
    <mergeCell ref="D35:D38"/>
    <mergeCell ref="A39:A45"/>
    <mergeCell ref="D39:D45"/>
  </mergeCells>
  <pageMargins left="0.70866141732283472" right="0.51181102362204722" top="0.74803149606299213" bottom="0.74803149606299213" header="0.31496062992125984" footer="0.31496062992125984"/>
  <pageSetup scale="90" orientation="landscape" r:id="rId1"/>
  <headerFooter>
    <oddHeader>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52"/>
  <sheetViews>
    <sheetView workbookViewId="0">
      <selection activeCell="S11" sqref="S11"/>
    </sheetView>
  </sheetViews>
  <sheetFormatPr defaultColWidth="10.76171875" defaultRowHeight="15" x14ac:dyDescent="0.2"/>
  <cols>
    <col min="1" max="1" width="9.01171875" customWidth="1"/>
    <col min="2" max="2" width="13.85546875" hidden="1" customWidth="1"/>
    <col min="3" max="3" width="8.875" hidden="1" customWidth="1"/>
    <col min="4" max="4" width="12.64453125" hidden="1" customWidth="1"/>
    <col min="5" max="5" width="9.4140625" hidden="1" customWidth="1"/>
    <col min="6" max="6" width="23.26953125" hidden="1" customWidth="1"/>
    <col min="7" max="7" width="29.19140625" customWidth="1"/>
    <col min="8" max="8" width="8.33984375" hidden="1" customWidth="1"/>
    <col min="9" max="9" width="20.4453125" hidden="1" customWidth="1"/>
    <col min="10" max="10" width="11.1640625" hidden="1" customWidth="1"/>
    <col min="11" max="11" width="13.44921875" hidden="1" customWidth="1"/>
    <col min="12" max="12" width="10.89453125" style="104" bestFit="1" customWidth="1"/>
    <col min="14" max="14" width="12.5078125" customWidth="1"/>
    <col min="17" max="18" width="3.09375" bestFit="1" customWidth="1"/>
    <col min="19" max="19" width="5.37890625" bestFit="1" customWidth="1"/>
    <col min="20" max="25" width="4.03515625" bestFit="1" customWidth="1"/>
    <col min="26" max="26" width="7.6640625" bestFit="1" customWidth="1"/>
    <col min="27" max="32" width="3.09375" bestFit="1" customWidth="1"/>
    <col min="33" max="33" width="7.6640625" bestFit="1" customWidth="1"/>
    <col min="34" max="39" width="4.70703125" bestFit="1" customWidth="1"/>
    <col min="40" max="40" width="7.6640625" bestFit="1" customWidth="1"/>
  </cols>
  <sheetData>
    <row r="1" spans="1:40" ht="26.25" thickBot="1" x14ac:dyDescent="0.4">
      <c r="L1" s="144" t="s">
        <v>445</v>
      </c>
    </row>
    <row r="2" spans="1:40" ht="56.25" customHeight="1" thickBot="1" x14ac:dyDescent="0.25">
      <c r="L2" s="138" t="s">
        <v>447</v>
      </c>
      <c r="M2" s="12" t="s">
        <v>448</v>
      </c>
      <c r="N2" s="103"/>
      <c r="O2" s="139" t="s">
        <v>444</v>
      </c>
      <c r="P2" s="207" t="s">
        <v>14</v>
      </c>
      <c r="Q2" s="208" t="s">
        <v>15</v>
      </c>
      <c r="R2" s="209" t="s">
        <v>96</v>
      </c>
      <c r="S2" s="211" t="s">
        <v>10</v>
      </c>
      <c r="T2" s="203" t="s">
        <v>97</v>
      </c>
      <c r="U2" s="204"/>
      <c r="V2" s="204"/>
      <c r="W2" s="204"/>
      <c r="X2" s="204"/>
      <c r="Y2" s="204"/>
      <c r="Z2" s="205"/>
      <c r="AA2" s="212" t="s">
        <v>443</v>
      </c>
      <c r="AB2" s="213"/>
      <c r="AC2" s="213"/>
      <c r="AD2" s="213"/>
      <c r="AE2" s="213"/>
      <c r="AF2" s="213"/>
      <c r="AG2" s="214"/>
      <c r="AH2" s="203" t="s">
        <v>16</v>
      </c>
      <c r="AI2" s="204"/>
      <c r="AJ2" s="204"/>
      <c r="AK2" s="204"/>
      <c r="AL2" s="204"/>
      <c r="AM2" s="204"/>
      <c r="AN2" s="205"/>
    </row>
    <row r="3" spans="1:40" ht="66.75" customHeight="1" thickBot="1" x14ac:dyDescent="0.25">
      <c r="A3" s="115" t="s">
        <v>99</v>
      </c>
      <c r="B3" s="115" t="s">
        <v>100</v>
      </c>
      <c r="C3" s="116" t="s">
        <v>101</v>
      </c>
      <c r="D3" s="117" t="s">
        <v>102</v>
      </c>
      <c r="E3" s="117"/>
      <c r="F3" s="118" t="s">
        <v>103</v>
      </c>
      <c r="G3" s="116" t="s">
        <v>98</v>
      </c>
      <c r="H3" s="19" t="s">
        <v>104</v>
      </c>
      <c r="I3" s="18" t="s">
        <v>105</v>
      </c>
      <c r="J3" s="18" t="s">
        <v>106</v>
      </c>
      <c r="K3" s="18" t="s">
        <v>107</v>
      </c>
      <c r="L3" s="140" t="s">
        <v>12</v>
      </c>
      <c r="M3" s="141" t="s">
        <v>9</v>
      </c>
      <c r="N3" s="142" t="s">
        <v>13</v>
      </c>
      <c r="O3" s="143" t="s">
        <v>11</v>
      </c>
      <c r="P3" s="207"/>
      <c r="Q3" s="208"/>
      <c r="R3" s="210"/>
      <c r="S3" s="211"/>
      <c r="T3" s="15" t="s">
        <v>2</v>
      </c>
      <c r="U3" s="2" t="s">
        <v>3</v>
      </c>
      <c r="V3" s="3" t="s">
        <v>4</v>
      </c>
      <c r="W3" s="4" t="s">
        <v>5</v>
      </c>
      <c r="X3" s="5" t="s">
        <v>6</v>
      </c>
      <c r="Y3" s="6" t="s">
        <v>7</v>
      </c>
      <c r="Z3" s="16" t="s">
        <v>8</v>
      </c>
      <c r="AA3" s="15" t="s">
        <v>2</v>
      </c>
      <c r="AB3" s="2" t="s">
        <v>3</v>
      </c>
      <c r="AC3" s="3" t="s">
        <v>4</v>
      </c>
      <c r="AD3" s="4" t="s">
        <v>5</v>
      </c>
      <c r="AE3" s="5" t="s">
        <v>6</v>
      </c>
      <c r="AF3" s="6" t="s">
        <v>7</v>
      </c>
      <c r="AG3" s="16" t="s">
        <v>8</v>
      </c>
      <c r="AH3" s="15" t="s">
        <v>2</v>
      </c>
      <c r="AI3" s="2" t="s">
        <v>3</v>
      </c>
      <c r="AJ3" s="3" t="s">
        <v>4</v>
      </c>
      <c r="AK3" s="4" t="s">
        <v>5</v>
      </c>
      <c r="AL3" s="5" t="s">
        <v>6</v>
      </c>
      <c r="AM3" s="6" t="s">
        <v>7</v>
      </c>
      <c r="AN3" s="16" t="s">
        <v>8</v>
      </c>
    </row>
    <row r="4" spans="1:40" ht="15.75" hidden="1" thickBot="1" x14ac:dyDescent="0.25">
      <c r="A4" s="119">
        <v>28</v>
      </c>
      <c r="B4" s="121">
        <v>3</v>
      </c>
      <c r="C4" s="122" t="s">
        <v>108</v>
      </c>
      <c r="D4" s="119" t="s">
        <v>0</v>
      </c>
      <c r="E4" s="119" t="s">
        <v>164</v>
      </c>
      <c r="F4" s="119" t="s">
        <v>173</v>
      </c>
      <c r="G4" s="119" t="s">
        <v>174</v>
      </c>
      <c r="H4" s="20">
        <v>1939375</v>
      </c>
      <c r="I4" s="20" t="s">
        <v>113</v>
      </c>
      <c r="J4" s="20" t="s">
        <v>114</v>
      </c>
      <c r="K4" s="21" t="s">
        <v>122</v>
      </c>
      <c r="L4" s="112">
        <v>6</v>
      </c>
      <c r="M4" s="108">
        <f t="shared" ref="M4:M35" si="0">L4*4</f>
        <v>24</v>
      </c>
      <c r="N4" s="108">
        <f>L4*40</f>
        <v>240</v>
      </c>
      <c r="O4" s="108">
        <f t="shared" ref="O4:O35" si="1">L4*48</f>
        <v>288</v>
      </c>
      <c r="P4" s="108">
        <f t="shared" ref="P4:P35" si="2">O4-N4</f>
        <v>48</v>
      </c>
      <c r="Q4" s="108">
        <f t="shared" ref="Q4:Q35" si="3">M4/2</f>
        <v>12</v>
      </c>
      <c r="R4" s="108">
        <f t="shared" ref="R4:R35" si="4">Q4</f>
        <v>12</v>
      </c>
      <c r="S4" s="148">
        <f t="shared" ref="S4:S35" si="5">P4-(Q4+R4)</f>
        <v>24</v>
      </c>
      <c r="T4" s="149">
        <v>240</v>
      </c>
      <c r="U4" s="113">
        <f t="shared" ref="U4:Z13" si="6">$S4/6</f>
        <v>4</v>
      </c>
      <c r="V4" s="113">
        <f t="shared" si="6"/>
        <v>4</v>
      </c>
      <c r="W4" s="113">
        <f t="shared" si="6"/>
        <v>4</v>
      </c>
      <c r="X4" s="113">
        <f t="shared" si="6"/>
        <v>4</v>
      </c>
      <c r="Y4" s="109">
        <f t="shared" si="6"/>
        <v>4</v>
      </c>
      <c r="Z4" s="150">
        <f t="shared" si="6"/>
        <v>4</v>
      </c>
      <c r="AA4" s="156"/>
      <c r="AB4" s="1"/>
      <c r="AC4" s="1"/>
      <c r="AD4" s="1"/>
      <c r="AE4" s="1"/>
      <c r="AF4" s="1"/>
      <c r="AG4" s="157"/>
      <c r="AH4" s="163">
        <f t="shared" ref="AH4:AH35" si="7">AA4-T4</f>
        <v>-240</v>
      </c>
      <c r="AI4" s="110">
        <f t="shared" ref="AI4:AI35" si="8">AB4-U4</f>
        <v>-4</v>
      </c>
      <c r="AJ4" s="110">
        <f t="shared" ref="AJ4:AJ35" si="9">AC4-V4</f>
        <v>-4</v>
      </c>
      <c r="AK4" s="110">
        <f t="shared" ref="AK4:AK35" si="10">AD4-W4</f>
        <v>-4</v>
      </c>
      <c r="AL4" s="110">
        <f t="shared" ref="AL4:AL35" si="11">AE4-X4</f>
        <v>-4</v>
      </c>
      <c r="AM4" s="110">
        <f t="shared" ref="AM4:AM35" si="12">AF4-Y4</f>
        <v>-4</v>
      </c>
      <c r="AN4" s="164">
        <f t="shared" ref="AN4:AN35" si="13">AG4-Z4</f>
        <v>-4</v>
      </c>
    </row>
    <row r="5" spans="1:40" ht="15.75" hidden="1" thickBot="1" x14ac:dyDescent="0.25">
      <c r="A5" s="119">
        <v>44</v>
      </c>
      <c r="B5" s="121">
        <v>6</v>
      </c>
      <c r="C5" s="122" t="s">
        <v>108</v>
      </c>
      <c r="D5" s="119" t="s">
        <v>209</v>
      </c>
      <c r="E5" s="119" t="s">
        <v>220</v>
      </c>
      <c r="F5" s="119" t="s">
        <v>221</v>
      </c>
      <c r="G5" s="119" t="s">
        <v>174</v>
      </c>
      <c r="H5" s="20">
        <v>1939375</v>
      </c>
      <c r="I5" s="22" t="s">
        <v>113</v>
      </c>
      <c r="J5" s="20" t="s">
        <v>118</v>
      </c>
      <c r="K5" s="21" t="s">
        <v>122</v>
      </c>
      <c r="L5" s="112">
        <v>6</v>
      </c>
      <c r="M5" s="108">
        <f t="shared" si="0"/>
        <v>24</v>
      </c>
      <c r="N5" s="108">
        <f>L5*40</f>
        <v>240</v>
      </c>
      <c r="O5" s="108">
        <f t="shared" si="1"/>
        <v>288</v>
      </c>
      <c r="P5" s="108">
        <f t="shared" si="2"/>
        <v>48</v>
      </c>
      <c r="Q5" s="108">
        <f t="shared" si="3"/>
        <v>12</v>
      </c>
      <c r="R5" s="108">
        <f t="shared" si="4"/>
        <v>12</v>
      </c>
      <c r="S5" s="148">
        <f t="shared" si="5"/>
        <v>24</v>
      </c>
      <c r="T5" s="149">
        <v>240</v>
      </c>
      <c r="U5" s="113">
        <f t="shared" si="6"/>
        <v>4</v>
      </c>
      <c r="V5" s="113">
        <f t="shared" si="6"/>
        <v>4</v>
      </c>
      <c r="W5" s="113">
        <f t="shared" si="6"/>
        <v>4</v>
      </c>
      <c r="X5" s="113">
        <f t="shared" si="6"/>
        <v>4</v>
      </c>
      <c r="Y5" s="109">
        <f t="shared" si="6"/>
        <v>4</v>
      </c>
      <c r="Z5" s="150">
        <f t="shared" si="6"/>
        <v>4</v>
      </c>
      <c r="AA5" s="156"/>
      <c r="AB5" s="1"/>
      <c r="AC5" s="1"/>
      <c r="AD5" s="1"/>
      <c r="AE5" s="1"/>
      <c r="AF5" s="1"/>
      <c r="AG5" s="157"/>
      <c r="AH5" s="163">
        <f t="shared" si="7"/>
        <v>-240</v>
      </c>
      <c r="AI5" s="110">
        <f t="shared" si="8"/>
        <v>-4</v>
      </c>
      <c r="AJ5" s="110">
        <f t="shared" si="9"/>
        <v>-4</v>
      </c>
      <c r="AK5" s="110">
        <f t="shared" si="10"/>
        <v>-4</v>
      </c>
      <c r="AL5" s="110">
        <f t="shared" si="11"/>
        <v>-4</v>
      </c>
      <c r="AM5" s="110">
        <f t="shared" si="12"/>
        <v>-4</v>
      </c>
      <c r="AN5" s="164">
        <f t="shared" si="13"/>
        <v>-4</v>
      </c>
    </row>
    <row r="6" spans="1:40" s="137" customFormat="1" ht="15.75" hidden="1" thickBot="1" x14ac:dyDescent="0.25">
      <c r="A6" s="128">
        <v>1</v>
      </c>
      <c r="B6" s="145"/>
      <c r="C6" s="129"/>
      <c r="D6" s="127"/>
      <c r="E6" s="127"/>
      <c r="F6" s="127" t="s">
        <v>446</v>
      </c>
      <c r="G6" s="127" t="s">
        <v>174</v>
      </c>
      <c r="H6" s="130"/>
      <c r="I6" s="131"/>
      <c r="J6" s="130"/>
      <c r="K6" s="132"/>
      <c r="L6" s="133">
        <f>40-(L4+L5)</f>
        <v>28</v>
      </c>
      <c r="M6" s="134">
        <f t="shared" si="0"/>
        <v>112</v>
      </c>
      <c r="N6" s="134">
        <v>0</v>
      </c>
      <c r="O6" s="134">
        <f t="shared" si="1"/>
        <v>1344</v>
      </c>
      <c r="P6" s="134">
        <f t="shared" si="2"/>
        <v>1344</v>
      </c>
      <c r="Q6" s="134">
        <f t="shared" si="3"/>
        <v>56</v>
      </c>
      <c r="R6" s="134">
        <f t="shared" si="4"/>
        <v>56</v>
      </c>
      <c r="S6" s="148">
        <f t="shared" si="5"/>
        <v>1232</v>
      </c>
      <c r="T6" s="151">
        <v>0</v>
      </c>
      <c r="U6" s="113">
        <f t="shared" si="6"/>
        <v>205.33333333333334</v>
      </c>
      <c r="V6" s="113">
        <f t="shared" si="6"/>
        <v>205.33333333333334</v>
      </c>
      <c r="W6" s="113">
        <f t="shared" si="6"/>
        <v>205.33333333333334</v>
      </c>
      <c r="X6" s="113">
        <f t="shared" si="6"/>
        <v>205.33333333333334</v>
      </c>
      <c r="Y6" s="113">
        <f t="shared" si="6"/>
        <v>205.33333333333334</v>
      </c>
      <c r="Z6" s="152">
        <f t="shared" si="6"/>
        <v>205.33333333333334</v>
      </c>
      <c r="AA6" s="158"/>
      <c r="AB6" s="135"/>
      <c r="AC6" s="135"/>
      <c r="AD6" s="135"/>
      <c r="AE6" s="135"/>
      <c r="AF6" s="135"/>
      <c r="AG6" s="159"/>
      <c r="AH6" s="165">
        <f t="shared" si="7"/>
        <v>0</v>
      </c>
      <c r="AI6" s="136">
        <f t="shared" si="8"/>
        <v>-205.33333333333334</v>
      </c>
      <c r="AJ6" s="136">
        <f t="shared" si="9"/>
        <v>-205.33333333333334</v>
      </c>
      <c r="AK6" s="136">
        <f t="shared" si="10"/>
        <v>-205.33333333333334</v>
      </c>
      <c r="AL6" s="136">
        <f t="shared" si="11"/>
        <v>-205.33333333333334</v>
      </c>
      <c r="AM6" s="136">
        <f t="shared" si="12"/>
        <v>-205.33333333333334</v>
      </c>
      <c r="AN6" s="166">
        <f t="shared" si="13"/>
        <v>-205.33333333333334</v>
      </c>
    </row>
    <row r="7" spans="1:40" ht="15.75" hidden="1" thickBot="1" x14ac:dyDescent="0.25">
      <c r="A7" s="128">
        <v>3</v>
      </c>
      <c r="B7" s="146">
        <v>1</v>
      </c>
      <c r="C7" s="121" t="s">
        <v>108</v>
      </c>
      <c r="D7" s="119" t="s">
        <v>109</v>
      </c>
      <c r="E7" s="119" t="s">
        <v>119</v>
      </c>
      <c r="F7" s="119" t="s">
        <v>120</v>
      </c>
      <c r="G7" s="119" t="s">
        <v>121</v>
      </c>
      <c r="H7" s="20">
        <v>1713033</v>
      </c>
      <c r="I7" s="20" t="s">
        <v>113</v>
      </c>
      <c r="J7" s="20" t="s">
        <v>114</v>
      </c>
      <c r="K7" s="21" t="s">
        <v>122</v>
      </c>
      <c r="L7" s="111">
        <v>6</v>
      </c>
      <c r="M7" s="108">
        <f t="shared" si="0"/>
        <v>24</v>
      </c>
      <c r="N7" s="108">
        <f>L7*40</f>
        <v>240</v>
      </c>
      <c r="O7" s="108">
        <f t="shared" si="1"/>
        <v>288</v>
      </c>
      <c r="P7" s="108">
        <f t="shared" si="2"/>
        <v>48</v>
      </c>
      <c r="Q7" s="108">
        <f t="shared" si="3"/>
        <v>12</v>
      </c>
      <c r="R7" s="108">
        <f t="shared" si="4"/>
        <v>12</v>
      </c>
      <c r="S7" s="148">
        <f t="shared" si="5"/>
        <v>24</v>
      </c>
      <c r="T7" s="149">
        <v>240</v>
      </c>
      <c r="U7" s="113">
        <f t="shared" si="6"/>
        <v>4</v>
      </c>
      <c r="V7" s="113">
        <f t="shared" si="6"/>
        <v>4</v>
      </c>
      <c r="W7" s="113">
        <f t="shared" si="6"/>
        <v>4</v>
      </c>
      <c r="X7" s="113">
        <f t="shared" si="6"/>
        <v>4</v>
      </c>
      <c r="Y7" s="113">
        <f t="shared" si="6"/>
        <v>4</v>
      </c>
      <c r="Z7" s="152">
        <f t="shared" si="6"/>
        <v>4</v>
      </c>
      <c r="AA7" s="156"/>
      <c r="AB7" s="1"/>
      <c r="AC7" s="1"/>
      <c r="AD7" s="1"/>
      <c r="AE7" s="1"/>
      <c r="AF7" s="1"/>
      <c r="AG7" s="157"/>
      <c r="AH7" s="163">
        <f t="shared" si="7"/>
        <v>-240</v>
      </c>
      <c r="AI7" s="110">
        <f t="shared" si="8"/>
        <v>-4</v>
      </c>
      <c r="AJ7" s="110">
        <f t="shared" si="9"/>
        <v>-4</v>
      </c>
      <c r="AK7" s="110">
        <f t="shared" si="10"/>
        <v>-4</v>
      </c>
      <c r="AL7" s="110">
        <f t="shared" si="11"/>
        <v>-4</v>
      </c>
      <c r="AM7" s="110">
        <f t="shared" si="12"/>
        <v>-4</v>
      </c>
      <c r="AN7" s="164">
        <f t="shared" si="13"/>
        <v>-4</v>
      </c>
    </row>
    <row r="8" spans="1:40" ht="15.75" hidden="1" thickBot="1" x14ac:dyDescent="0.25">
      <c r="A8" s="128">
        <v>54</v>
      </c>
      <c r="B8" s="147">
        <v>7</v>
      </c>
      <c r="C8" s="122" t="s">
        <v>108</v>
      </c>
      <c r="D8" s="119" t="s">
        <v>132</v>
      </c>
      <c r="E8" s="119" t="s">
        <v>244</v>
      </c>
      <c r="F8" s="119" t="s">
        <v>245</v>
      </c>
      <c r="G8" s="119" t="s">
        <v>121</v>
      </c>
      <c r="H8" s="20">
        <v>1713033</v>
      </c>
      <c r="I8" s="20" t="s">
        <v>113</v>
      </c>
      <c r="J8" s="20" t="s">
        <v>114</v>
      </c>
      <c r="K8" s="21" t="s">
        <v>122</v>
      </c>
      <c r="L8" s="112">
        <v>6</v>
      </c>
      <c r="M8" s="108">
        <f t="shared" si="0"/>
        <v>24</v>
      </c>
      <c r="N8" s="108">
        <f>L8*40</f>
        <v>240</v>
      </c>
      <c r="O8" s="108">
        <f t="shared" si="1"/>
        <v>288</v>
      </c>
      <c r="P8" s="108">
        <f t="shared" si="2"/>
        <v>48</v>
      </c>
      <c r="Q8" s="108">
        <f t="shared" si="3"/>
        <v>12</v>
      </c>
      <c r="R8" s="108">
        <f t="shared" si="4"/>
        <v>12</v>
      </c>
      <c r="S8" s="148">
        <f t="shared" si="5"/>
        <v>24</v>
      </c>
      <c r="T8" s="149">
        <v>240</v>
      </c>
      <c r="U8" s="113">
        <f t="shared" si="6"/>
        <v>4</v>
      </c>
      <c r="V8" s="113">
        <f t="shared" si="6"/>
        <v>4</v>
      </c>
      <c r="W8" s="113">
        <f t="shared" si="6"/>
        <v>4</v>
      </c>
      <c r="X8" s="113">
        <f t="shared" si="6"/>
        <v>4</v>
      </c>
      <c r="Y8" s="113">
        <f t="shared" si="6"/>
        <v>4</v>
      </c>
      <c r="Z8" s="152">
        <f t="shared" si="6"/>
        <v>4</v>
      </c>
      <c r="AA8" s="156"/>
      <c r="AB8" s="1"/>
      <c r="AC8" s="1"/>
      <c r="AD8" s="1"/>
      <c r="AE8" s="1"/>
      <c r="AF8" s="1"/>
      <c r="AG8" s="157"/>
      <c r="AH8" s="163">
        <f t="shared" si="7"/>
        <v>-240</v>
      </c>
      <c r="AI8" s="110">
        <f t="shared" si="8"/>
        <v>-4</v>
      </c>
      <c r="AJ8" s="110">
        <f t="shared" si="9"/>
        <v>-4</v>
      </c>
      <c r="AK8" s="110">
        <f t="shared" si="10"/>
        <v>-4</v>
      </c>
      <c r="AL8" s="110">
        <f t="shared" si="11"/>
        <v>-4</v>
      </c>
      <c r="AM8" s="110">
        <f t="shared" si="12"/>
        <v>-4</v>
      </c>
      <c r="AN8" s="164">
        <f t="shared" si="13"/>
        <v>-4</v>
      </c>
    </row>
    <row r="9" spans="1:40" ht="15.75" hidden="1" thickBot="1" x14ac:dyDescent="0.25">
      <c r="A9" s="128">
        <v>2</v>
      </c>
      <c r="B9" s="147"/>
      <c r="C9" s="122"/>
      <c r="D9" s="119"/>
      <c r="E9" s="119"/>
      <c r="F9" s="127" t="s">
        <v>446</v>
      </c>
      <c r="G9" s="127" t="s">
        <v>121</v>
      </c>
      <c r="H9" s="20"/>
      <c r="I9" s="20"/>
      <c r="J9" s="20"/>
      <c r="K9" s="21"/>
      <c r="L9" s="133">
        <f>40-(L7+L8)</f>
        <v>28</v>
      </c>
      <c r="M9" s="134">
        <f t="shared" si="0"/>
        <v>112</v>
      </c>
      <c r="N9" s="134">
        <v>0</v>
      </c>
      <c r="O9" s="134">
        <f t="shared" si="1"/>
        <v>1344</v>
      </c>
      <c r="P9" s="134">
        <f t="shared" si="2"/>
        <v>1344</v>
      </c>
      <c r="Q9" s="134">
        <f t="shared" si="3"/>
        <v>56</v>
      </c>
      <c r="R9" s="134">
        <f t="shared" si="4"/>
        <v>56</v>
      </c>
      <c r="S9" s="148">
        <f t="shared" si="5"/>
        <v>1232</v>
      </c>
      <c r="T9" s="151">
        <v>0</v>
      </c>
      <c r="U9" s="113">
        <f t="shared" si="6"/>
        <v>205.33333333333334</v>
      </c>
      <c r="V9" s="113">
        <f t="shared" si="6"/>
        <v>205.33333333333334</v>
      </c>
      <c r="W9" s="113">
        <f t="shared" si="6"/>
        <v>205.33333333333334</v>
      </c>
      <c r="X9" s="113">
        <f t="shared" si="6"/>
        <v>205.33333333333334</v>
      </c>
      <c r="Y9" s="113">
        <f t="shared" si="6"/>
        <v>205.33333333333334</v>
      </c>
      <c r="Z9" s="152">
        <f t="shared" si="6"/>
        <v>205.33333333333334</v>
      </c>
      <c r="AA9" s="158"/>
      <c r="AB9" s="135"/>
      <c r="AC9" s="135"/>
      <c r="AD9" s="135"/>
      <c r="AE9" s="135"/>
      <c r="AF9" s="135"/>
      <c r="AG9" s="159"/>
      <c r="AH9" s="165">
        <f t="shared" si="7"/>
        <v>0</v>
      </c>
      <c r="AI9" s="136">
        <f t="shared" si="8"/>
        <v>-205.33333333333334</v>
      </c>
      <c r="AJ9" s="136">
        <f t="shared" si="9"/>
        <v>-205.33333333333334</v>
      </c>
      <c r="AK9" s="136">
        <f t="shared" si="10"/>
        <v>-205.33333333333334</v>
      </c>
      <c r="AL9" s="136">
        <f t="shared" si="11"/>
        <v>-205.33333333333334</v>
      </c>
      <c r="AM9" s="136">
        <f t="shared" si="12"/>
        <v>-205.33333333333334</v>
      </c>
      <c r="AN9" s="166">
        <f t="shared" si="13"/>
        <v>-205.33333333333334</v>
      </c>
    </row>
    <row r="10" spans="1:40" ht="15.75" thickBot="1" x14ac:dyDescent="0.25">
      <c r="A10" s="128">
        <v>14</v>
      </c>
      <c r="B10" s="146">
        <v>2</v>
      </c>
      <c r="C10" s="121" t="s">
        <v>116</v>
      </c>
      <c r="D10" s="119" t="s">
        <v>109</v>
      </c>
      <c r="E10" s="119" t="s">
        <v>141</v>
      </c>
      <c r="F10" s="119" t="s">
        <v>142</v>
      </c>
      <c r="G10" s="119" t="s">
        <v>144</v>
      </c>
      <c r="H10" s="20">
        <v>4826345</v>
      </c>
      <c r="I10" s="20" t="s">
        <v>113</v>
      </c>
      <c r="J10" s="20" t="s">
        <v>118</v>
      </c>
      <c r="K10" s="21" t="s">
        <v>122</v>
      </c>
      <c r="L10" s="112">
        <v>6</v>
      </c>
      <c r="M10" s="108">
        <f t="shared" si="0"/>
        <v>24</v>
      </c>
      <c r="N10" s="108">
        <f>L10*40</f>
        <v>240</v>
      </c>
      <c r="O10" s="108">
        <f>L10*48</f>
        <v>288</v>
      </c>
      <c r="P10" s="108">
        <f>O10-N10</f>
        <v>48</v>
      </c>
      <c r="Q10" s="108">
        <f t="shared" si="3"/>
        <v>12</v>
      </c>
      <c r="R10" s="108">
        <f t="shared" si="4"/>
        <v>12</v>
      </c>
      <c r="S10" s="148">
        <f t="shared" si="5"/>
        <v>24</v>
      </c>
      <c r="T10" s="149">
        <v>240</v>
      </c>
      <c r="U10" s="113">
        <f t="shared" si="6"/>
        <v>4</v>
      </c>
      <c r="V10" s="113">
        <f t="shared" si="6"/>
        <v>4</v>
      </c>
      <c r="W10" s="113">
        <f t="shared" si="6"/>
        <v>4</v>
      </c>
      <c r="X10" s="113">
        <f t="shared" si="6"/>
        <v>4</v>
      </c>
      <c r="Y10" s="113">
        <f t="shared" si="6"/>
        <v>4</v>
      </c>
      <c r="Z10" s="152">
        <f t="shared" si="6"/>
        <v>4</v>
      </c>
      <c r="AA10" s="156"/>
      <c r="AB10" s="1"/>
      <c r="AC10" s="1"/>
      <c r="AD10" s="1"/>
      <c r="AE10" s="1"/>
      <c r="AF10" s="1"/>
      <c r="AG10" s="157"/>
      <c r="AH10" s="163">
        <f t="shared" si="7"/>
        <v>-240</v>
      </c>
      <c r="AI10" s="110">
        <f t="shared" si="8"/>
        <v>-4</v>
      </c>
      <c r="AJ10" s="110">
        <f t="shared" si="9"/>
        <v>-4</v>
      </c>
      <c r="AK10" s="110">
        <f t="shared" si="10"/>
        <v>-4</v>
      </c>
      <c r="AL10" s="110">
        <f t="shared" si="11"/>
        <v>-4</v>
      </c>
      <c r="AM10" s="110">
        <f t="shared" si="12"/>
        <v>-4</v>
      </c>
      <c r="AN10" s="164">
        <f t="shared" si="13"/>
        <v>-4</v>
      </c>
    </row>
    <row r="11" spans="1:40" ht="15.75" thickBot="1" x14ac:dyDescent="0.25">
      <c r="A11" s="128">
        <v>3</v>
      </c>
      <c r="B11" s="146"/>
      <c r="C11" s="121"/>
      <c r="D11" s="119"/>
      <c r="E11" s="119"/>
      <c r="F11" s="127" t="s">
        <v>446</v>
      </c>
      <c r="G11" s="127" t="s">
        <v>144</v>
      </c>
      <c r="H11" s="20"/>
      <c r="I11" s="20"/>
      <c r="J11" s="20"/>
      <c r="K11" s="21"/>
      <c r="L11" s="133">
        <f>40-L10</f>
        <v>34</v>
      </c>
      <c r="M11" s="134">
        <f>L11*4</f>
        <v>136</v>
      </c>
      <c r="N11" s="134">
        <v>0</v>
      </c>
      <c r="O11" s="134">
        <f>L11*48</f>
        <v>1632</v>
      </c>
      <c r="P11" s="134">
        <f>O11-N11</f>
        <v>1632</v>
      </c>
      <c r="Q11" s="134">
        <f>M11/2</f>
        <v>68</v>
      </c>
      <c r="R11" s="134">
        <f>Q11</f>
        <v>68</v>
      </c>
      <c r="S11" s="148">
        <f>P11-(Q11+R11)</f>
        <v>1496</v>
      </c>
      <c r="T11" s="151">
        <v>0</v>
      </c>
      <c r="U11" s="113">
        <f t="shared" si="6"/>
        <v>249.33333333333334</v>
      </c>
      <c r="V11" s="113">
        <f t="shared" si="6"/>
        <v>249.33333333333334</v>
      </c>
      <c r="W11" s="113">
        <f t="shared" si="6"/>
        <v>249.33333333333334</v>
      </c>
      <c r="X11" s="113">
        <f t="shared" si="6"/>
        <v>249.33333333333334</v>
      </c>
      <c r="Y11" s="113">
        <f t="shared" si="6"/>
        <v>249.33333333333334</v>
      </c>
      <c r="Z11" s="152">
        <f t="shared" si="6"/>
        <v>249.33333333333334</v>
      </c>
      <c r="AA11" s="158"/>
      <c r="AB11" s="135"/>
      <c r="AC11" s="135"/>
      <c r="AD11" s="135"/>
      <c r="AE11" s="135"/>
      <c r="AF11" s="135"/>
      <c r="AG11" s="159"/>
      <c r="AH11" s="165">
        <f t="shared" si="7"/>
        <v>0</v>
      </c>
      <c r="AI11" s="136">
        <f t="shared" si="8"/>
        <v>-249.33333333333334</v>
      </c>
      <c r="AJ11" s="136">
        <f t="shared" si="9"/>
        <v>-249.33333333333334</v>
      </c>
      <c r="AK11" s="136">
        <f t="shared" si="10"/>
        <v>-249.33333333333334</v>
      </c>
      <c r="AL11" s="136">
        <f t="shared" si="11"/>
        <v>-249.33333333333334</v>
      </c>
      <c r="AM11" s="136">
        <f t="shared" si="12"/>
        <v>-249.33333333333334</v>
      </c>
      <c r="AN11" s="166">
        <f t="shared" si="13"/>
        <v>-249.33333333333334</v>
      </c>
    </row>
    <row r="12" spans="1:40" ht="15.75" hidden="1" thickBot="1" x14ac:dyDescent="0.25">
      <c r="A12" s="128">
        <v>36</v>
      </c>
      <c r="B12" s="147">
        <v>4</v>
      </c>
      <c r="C12" s="122" t="s">
        <v>108</v>
      </c>
      <c r="D12" s="119" t="s">
        <v>132</v>
      </c>
      <c r="E12" s="119" t="s">
        <v>193</v>
      </c>
      <c r="F12" s="119" t="s">
        <v>194</v>
      </c>
      <c r="G12" s="119" t="s">
        <v>195</v>
      </c>
      <c r="H12" s="23" t="s">
        <v>196</v>
      </c>
      <c r="I12" s="20" t="s">
        <v>197</v>
      </c>
      <c r="J12" s="20" t="s">
        <v>118</v>
      </c>
      <c r="K12" s="21" t="s">
        <v>122</v>
      </c>
      <c r="L12" s="112">
        <v>4</v>
      </c>
      <c r="M12" s="108">
        <f t="shared" si="0"/>
        <v>16</v>
      </c>
      <c r="N12" s="108">
        <f>L12*40</f>
        <v>160</v>
      </c>
      <c r="O12" s="108">
        <f t="shared" si="1"/>
        <v>192</v>
      </c>
      <c r="P12" s="108">
        <f t="shared" si="2"/>
        <v>32</v>
      </c>
      <c r="Q12" s="108">
        <f t="shared" si="3"/>
        <v>8</v>
      </c>
      <c r="R12" s="108">
        <f t="shared" si="4"/>
        <v>8</v>
      </c>
      <c r="S12" s="148">
        <f t="shared" si="5"/>
        <v>16</v>
      </c>
      <c r="T12" s="149">
        <v>240</v>
      </c>
      <c r="U12" s="113">
        <f t="shared" si="6"/>
        <v>2.6666666666666665</v>
      </c>
      <c r="V12" s="113">
        <f t="shared" si="6"/>
        <v>2.6666666666666665</v>
      </c>
      <c r="W12" s="113">
        <f t="shared" si="6"/>
        <v>2.6666666666666665</v>
      </c>
      <c r="X12" s="113">
        <f t="shared" si="6"/>
        <v>2.6666666666666665</v>
      </c>
      <c r="Y12" s="113">
        <f t="shared" si="6"/>
        <v>2.6666666666666665</v>
      </c>
      <c r="Z12" s="152">
        <f t="shared" si="6"/>
        <v>2.6666666666666665</v>
      </c>
      <c r="AA12" s="156"/>
      <c r="AB12" s="1"/>
      <c r="AC12" s="1"/>
      <c r="AD12" s="1"/>
      <c r="AE12" s="1"/>
      <c r="AF12" s="1"/>
      <c r="AG12" s="157"/>
      <c r="AH12" s="163">
        <f t="shared" si="7"/>
        <v>-240</v>
      </c>
      <c r="AI12" s="110">
        <f t="shared" si="8"/>
        <v>-2.6666666666666665</v>
      </c>
      <c r="AJ12" s="110">
        <f t="shared" si="9"/>
        <v>-2.6666666666666665</v>
      </c>
      <c r="AK12" s="110">
        <f t="shared" si="10"/>
        <v>-2.6666666666666665</v>
      </c>
      <c r="AL12" s="110">
        <f t="shared" si="11"/>
        <v>-2.6666666666666665</v>
      </c>
      <c r="AM12" s="110">
        <f t="shared" si="12"/>
        <v>-2.6666666666666665</v>
      </c>
      <c r="AN12" s="164">
        <f t="shared" si="13"/>
        <v>-2.6666666666666665</v>
      </c>
    </row>
    <row r="13" spans="1:40" ht="15.75" hidden="1" thickBot="1" x14ac:dyDescent="0.25">
      <c r="A13" s="128">
        <v>4</v>
      </c>
      <c r="B13" s="147"/>
      <c r="C13" s="122"/>
      <c r="D13" s="119"/>
      <c r="E13" s="119"/>
      <c r="F13" s="127" t="s">
        <v>446</v>
      </c>
      <c r="G13" s="127" t="s">
        <v>195</v>
      </c>
      <c r="H13" s="23"/>
      <c r="I13" s="20"/>
      <c r="J13" s="20"/>
      <c r="K13" s="21"/>
      <c r="L13" s="133">
        <f>40-L12</f>
        <v>36</v>
      </c>
      <c r="M13" s="134">
        <f t="shared" si="0"/>
        <v>144</v>
      </c>
      <c r="N13" s="134">
        <v>0</v>
      </c>
      <c r="O13" s="134">
        <f t="shared" si="1"/>
        <v>1728</v>
      </c>
      <c r="P13" s="134">
        <f t="shared" si="2"/>
        <v>1728</v>
      </c>
      <c r="Q13" s="134">
        <f t="shared" si="3"/>
        <v>72</v>
      </c>
      <c r="R13" s="134">
        <f t="shared" si="4"/>
        <v>72</v>
      </c>
      <c r="S13" s="148">
        <f t="shared" si="5"/>
        <v>1584</v>
      </c>
      <c r="T13" s="151">
        <v>0</v>
      </c>
      <c r="U13" s="113">
        <f t="shared" si="6"/>
        <v>264</v>
      </c>
      <c r="V13" s="113">
        <f t="shared" si="6"/>
        <v>264</v>
      </c>
      <c r="W13" s="113">
        <f t="shared" si="6"/>
        <v>264</v>
      </c>
      <c r="X13" s="113">
        <f t="shared" si="6"/>
        <v>264</v>
      </c>
      <c r="Y13" s="113">
        <f t="shared" si="6"/>
        <v>264</v>
      </c>
      <c r="Z13" s="152">
        <f t="shared" si="6"/>
        <v>264</v>
      </c>
      <c r="AA13" s="158"/>
      <c r="AB13" s="135"/>
      <c r="AC13" s="135"/>
      <c r="AD13" s="135"/>
      <c r="AE13" s="135"/>
      <c r="AF13" s="135"/>
      <c r="AG13" s="159"/>
      <c r="AH13" s="165">
        <f t="shared" si="7"/>
        <v>0</v>
      </c>
      <c r="AI13" s="136">
        <f t="shared" si="8"/>
        <v>-264</v>
      </c>
      <c r="AJ13" s="136">
        <f t="shared" si="9"/>
        <v>-264</v>
      </c>
      <c r="AK13" s="136">
        <f t="shared" si="10"/>
        <v>-264</v>
      </c>
      <c r="AL13" s="136">
        <f t="shared" si="11"/>
        <v>-264</v>
      </c>
      <c r="AM13" s="136">
        <f t="shared" si="12"/>
        <v>-264</v>
      </c>
      <c r="AN13" s="166">
        <f t="shared" si="13"/>
        <v>-264</v>
      </c>
    </row>
    <row r="14" spans="1:40" ht="15.75" hidden="1" thickBot="1" x14ac:dyDescent="0.25">
      <c r="A14" s="128">
        <v>10</v>
      </c>
      <c r="B14" s="146">
        <v>1</v>
      </c>
      <c r="C14" s="121" t="s">
        <v>116</v>
      </c>
      <c r="D14" s="119" t="s">
        <v>132</v>
      </c>
      <c r="E14" s="119" t="s">
        <v>133</v>
      </c>
      <c r="F14" s="119" t="s">
        <v>134</v>
      </c>
      <c r="G14" s="119" t="s">
        <v>136</v>
      </c>
      <c r="H14" s="20">
        <v>1725225</v>
      </c>
      <c r="I14" s="20" t="s">
        <v>113</v>
      </c>
      <c r="J14" s="20" t="s">
        <v>118</v>
      </c>
      <c r="K14" s="21" t="s">
        <v>122</v>
      </c>
      <c r="L14" s="112">
        <v>6</v>
      </c>
      <c r="M14" s="108">
        <f t="shared" si="0"/>
        <v>24</v>
      </c>
      <c r="N14" s="108">
        <f>L14*40</f>
        <v>240</v>
      </c>
      <c r="O14" s="108">
        <f t="shared" si="1"/>
        <v>288</v>
      </c>
      <c r="P14" s="108">
        <f t="shared" si="2"/>
        <v>48</v>
      </c>
      <c r="Q14" s="108">
        <f t="shared" si="3"/>
        <v>12</v>
      </c>
      <c r="R14" s="108">
        <f t="shared" si="4"/>
        <v>12</v>
      </c>
      <c r="S14" s="148">
        <f t="shared" si="5"/>
        <v>24</v>
      </c>
      <c r="T14" s="149">
        <v>240</v>
      </c>
      <c r="U14" s="113">
        <f t="shared" ref="U14:Z23" si="14">$S14/6</f>
        <v>4</v>
      </c>
      <c r="V14" s="113">
        <f t="shared" si="14"/>
        <v>4</v>
      </c>
      <c r="W14" s="113">
        <f t="shared" si="14"/>
        <v>4</v>
      </c>
      <c r="X14" s="113">
        <f t="shared" si="14"/>
        <v>4</v>
      </c>
      <c r="Y14" s="113">
        <f t="shared" si="14"/>
        <v>4</v>
      </c>
      <c r="Z14" s="152">
        <f t="shared" si="14"/>
        <v>4</v>
      </c>
      <c r="AA14" s="156"/>
      <c r="AB14" s="1"/>
      <c r="AC14" s="1"/>
      <c r="AD14" s="1"/>
      <c r="AE14" s="1"/>
      <c r="AF14" s="1"/>
      <c r="AG14" s="157"/>
      <c r="AH14" s="163">
        <f t="shared" si="7"/>
        <v>-240</v>
      </c>
      <c r="AI14" s="110">
        <f t="shared" si="8"/>
        <v>-4</v>
      </c>
      <c r="AJ14" s="110">
        <f t="shared" si="9"/>
        <v>-4</v>
      </c>
      <c r="AK14" s="110">
        <f t="shared" si="10"/>
        <v>-4</v>
      </c>
      <c r="AL14" s="110">
        <f t="shared" si="11"/>
        <v>-4</v>
      </c>
      <c r="AM14" s="110">
        <f t="shared" si="12"/>
        <v>-4</v>
      </c>
      <c r="AN14" s="164">
        <f t="shared" si="13"/>
        <v>-4</v>
      </c>
    </row>
    <row r="15" spans="1:40" ht="15.75" hidden="1" thickBot="1" x14ac:dyDescent="0.25">
      <c r="A15" s="128">
        <v>24</v>
      </c>
      <c r="B15" s="146">
        <v>3</v>
      </c>
      <c r="C15" s="121" t="s">
        <v>108</v>
      </c>
      <c r="D15" s="119" t="s">
        <v>109</v>
      </c>
      <c r="E15" s="119" t="s">
        <v>164</v>
      </c>
      <c r="F15" s="119" t="s">
        <v>165</v>
      </c>
      <c r="G15" s="119" t="s">
        <v>136</v>
      </c>
      <c r="H15" s="20">
        <v>1725225</v>
      </c>
      <c r="I15" s="20" t="s">
        <v>113</v>
      </c>
      <c r="J15" s="20" t="s">
        <v>118</v>
      </c>
      <c r="K15" s="21" t="s">
        <v>122</v>
      </c>
      <c r="L15" s="112">
        <v>6</v>
      </c>
      <c r="M15" s="108">
        <f t="shared" si="0"/>
        <v>24</v>
      </c>
      <c r="N15" s="108">
        <f>L15*40</f>
        <v>240</v>
      </c>
      <c r="O15" s="108">
        <f t="shared" si="1"/>
        <v>288</v>
      </c>
      <c r="P15" s="108">
        <f t="shared" si="2"/>
        <v>48</v>
      </c>
      <c r="Q15" s="108">
        <f t="shared" si="3"/>
        <v>12</v>
      </c>
      <c r="R15" s="108">
        <f t="shared" si="4"/>
        <v>12</v>
      </c>
      <c r="S15" s="148">
        <f t="shared" si="5"/>
        <v>24</v>
      </c>
      <c r="T15" s="149">
        <v>240</v>
      </c>
      <c r="U15" s="113">
        <f t="shared" si="14"/>
        <v>4</v>
      </c>
      <c r="V15" s="113">
        <f t="shared" si="14"/>
        <v>4</v>
      </c>
      <c r="W15" s="113">
        <f t="shared" si="14"/>
        <v>4</v>
      </c>
      <c r="X15" s="113">
        <f t="shared" si="14"/>
        <v>4</v>
      </c>
      <c r="Y15" s="113">
        <f t="shared" si="14"/>
        <v>4</v>
      </c>
      <c r="Z15" s="152">
        <f t="shared" si="14"/>
        <v>4</v>
      </c>
      <c r="AA15" s="156"/>
      <c r="AB15" s="1"/>
      <c r="AC15" s="1"/>
      <c r="AD15" s="1"/>
      <c r="AE15" s="1"/>
      <c r="AF15" s="1"/>
      <c r="AG15" s="157"/>
      <c r="AH15" s="163">
        <f t="shared" si="7"/>
        <v>-240</v>
      </c>
      <c r="AI15" s="110">
        <f t="shared" si="8"/>
        <v>-4</v>
      </c>
      <c r="AJ15" s="110">
        <f t="shared" si="9"/>
        <v>-4</v>
      </c>
      <c r="AK15" s="110">
        <f t="shared" si="10"/>
        <v>-4</v>
      </c>
      <c r="AL15" s="110">
        <f t="shared" si="11"/>
        <v>-4</v>
      </c>
      <c r="AM15" s="110">
        <f t="shared" si="12"/>
        <v>-4</v>
      </c>
      <c r="AN15" s="164">
        <f t="shared" si="13"/>
        <v>-4</v>
      </c>
    </row>
    <row r="16" spans="1:40" ht="15.75" hidden="1" thickBot="1" x14ac:dyDescent="0.25">
      <c r="A16" s="128">
        <v>5</v>
      </c>
      <c r="B16" s="146"/>
      <c r="C16" s="121"/>
      <c r="D16" s="119"/>
      <c r="E16" s="119"/>
      <c r="F16" s="127" t="s">
        <v>446</v>
      </c>
      <c r="G16" s="127" t="s">
        <v>136</v>
      </c>
      <c r="H16" s="20"/>
      <c r="I16" s="20"/>
      <c r="J16" s="20"/>
      <c r="K16" s="21"/>
      <c r="L16" s="133">
        <f>40-(L14+L15)</f>
        <v>28</v>
      </c>
      <c r="M16" s="134">
        <f t="shared" si="0"/>
        <v>112</v>
      </c>
      <c r="N16" s="134">
        <v>0</v>
      </c>
      <c r="O16" s="134">
        <f t="shared" si="1"/>
        <v>1344</v>
      </c>
      <c r="P16" s="134">
        <f t="shared" si="2"/>
        <v>1344</v>
      </c>
      <c r="Q16" s="134">
        <f t="shared" si="3"/>
        <v>56</v>
      </c>
      <c r="R16" s="134">
        <f t="shared" si="4"/>
        <v>56</v>
      </c>
      <c r="S16" s="148">
        <f t="shared" si="5"/>
        <v>1232</v>
      </c>
      <c r="T16" s="151">
        <v>0</v>
      </c>
      <c r="U16" s="113">
        <f t="shared" si="14"/>
        <v>205.33333333333334</v>
      </c>
      <c r="V16" s="113">
        <f t="shared" si="14"/>
        <v>205.33333333333334</v>
      </c>
      <c r="W16" s="113">
        <f t="shared" si="14"/>
        <v>205.33333333333334</v>
      </c>
      <c r="X16" s="113">
        <f t="shared" si="14"/>
        <v>205.33333333333334</v>
      </c>
      <c r="Y16" s="113">
        <f t="shared" si="14"/>
        <v>205.33333333333334</v>
      </c>
      <c r="Z16" s="152">
        <f t="shared" si="14"/>
        <v>205.33333333333334</v>
      </c>
      <c r="AA16" s="158"/>
      <c r="AB16" s="135"/>
      <c r="AC16" s="135"/>
      <c r="AD16" s="135"/>
      <c r="AE16" s="135"/>
      <c r="AF16" s="135"/>
      <c r="AG16" s="159"/>
      <c r="AH16" s="165">
        <f t="shared" si="7"/>
        <v>0</v>
      </c>
      <c r="AI16" s="136">
        <f t="shared" si="8"/>
        <v>-205.33333333333334</v>
      </c>
      <c r="AJ16" s="136">
        <f t="shared" si="9"/>
        <v>-205.33333333333334</v>
      </c>
      <c r="AK16" s="136">
        <f t="shared" si="10"/>
        <v>-205.33333333333334</v>
      </c>
      <c r="AL16" s="136">
        <f t="shared" si="11"/>
        <v>-205.33333333333334</v>
      </c>
      <c r="AM16" s="136">
        <f t="shared" si="12"/>
        <v>-205.33333333333334</v>
      </c>
      <c r="AN16" s="166">
        <f t="shared" si="13"/>
        <v>-205.33333333333334</v>
      </c>
    </row>
    <row r="17" spans="1:40" ht="15.75" hidden="1" thickBot="1" x14ac:dyDescent="0.25">
      <c r="A17" s="128">
        <v>4</v>
      </c>
      <c r="B17" s="146">
        <v>1</v>
      </c>
      <c r="C17" s="121" t="s">
        <v>116</v>
      </c>
      <c r="D17" s="119" t="s">
        <v>109</v>
      </c>
      <c r="E17" s="119" t="s">
        <v>119</v>
      </c>
      <c r="F17" s="119" t="s">
        <v>120</v>
      </c>
      <c r="G17" s="119" t="s">
        <v>123</v>
      </c>
      <c r="H17" s="20">
        <v>5608180</v>
      </c>
      <c r="I17" s="20" t="s">
        <v>124</v>
      </c>
      <c r="J17" s="20" t="s">
        <v>118</v>
      </c>
      <c r="K17" s="21" t="s">
        <v>122</v>
      </c>
      <c r="L17" s="112">
        <v>6</v>
      </c>
      <c r="M17" s="108">
        <f t="shared" si="0"/>
        <v>24</v>
      </c>
      <c r="N17" s="108">
        <f>L17*40</f>
        <v>240</v>
      </c>
      <c r="O17" s="108">
        <f t="shared" si="1"/>
        <v>288</v>
      </c>
      <c r="P17" s="108">
        <f t="shared" si="2"/>
        <v>48</v>
      </c>
      <c r="Q17" s="108">
        <f t="shared" si="3"/>
        <v>12</v>
      </c>
      <c r="R17" s="108">
        <f t="shared" si="4"/>
        <v>12</v>
      </c>
      <c r="S17" s="148">
        <f t="shared" si="5"/>
        <v>24</v>
      </c>
      <c r="T17" s="149">
        <v>240</v>
      </c>
      <c r="U17" s="113">
        <f t="shared" si="14"/>
        <v>4</v>
      </c>
      <c r="V17" s="113">
        <f t="shared" si="14"/>
        <v>4</v>
      </c>
      <c r="W17" s="113">
        <f t="shared" si="14"/>
        <v>4</v>
      </c>
      <c r="X17" s="113">
        <f t="shared" si="14"/>
        <v>4</v>
      </c>
      <c r="Y17" s="113">
        <f t="shared" si="14"/>
        <v>4</v>
      </c>
      <c r="Z17" s="152">
        <f t="shared" si="14"/>
        <v>4</v>
      </c>
      <c r="AA17" s="156"/>
      <c r="AB17" s="1"/>
      <c r="AC17" s="1"/>
      <c r="AD17" s="1"/>
      <c r="AE17" s="1"/>
      <c r="AF17" s="1"/>
      <c r="AG17" s="157"/>
      <c r="AH17" s="163">
        <f t="shared" si="7"/>
        <v>-240</v>
      </c>
      <c r="AI17" s="110">
        <f t="shared" si="8"/>
        <v>-4</v>
      </c>
      <c r="AJ17" s="110">
        <f t="shared" si="9"/>
        <v>-4</v>
      </c>
      <c r="AK17" s="110">
        <f t="shared" si="10"/>
        <v>-4</v>
      </c>
      <c r="AL17" s="110">
        <f t="shared" si="11"/>
        <v>-4</v>
      </c>
      <c r="AM17" s="110">
        <f t="shared" si="12"/>
        <v>-4</v>
      </c>
      <c r="AN17" s="164">
        <f t="shared" si="13"/>
        <v>-4</v>
      </c>
    </row>
    <row r="18" spans="1:40" ht="15.75" hidden="1" thickBot="1" x14ac:dyDescent="0.25">
      <c r="A18" s="128">
        <v>6</v>
      </c>
      <c r="B18" s="146"/>
      <c r="C18" s="121"/>
      <c r="D18" s="119"/>
      <c r="E18" s="119"/>
      <c r="F18" s="127" t="s">
        <v>446</v>
      </c>
      <c r="G18" s="127" t="s">
        <v>123</v>
      </c>
      <c r="H18" s="20"/>
      <c r="I18" s="20"/>
      <c r="J18" s="20"/>
      <c r="K18" s="21"/>
      <c r="L18" s="133">
        <f>40-L17</f>
        <v>34</v>
      </c>
      <c r="M18" s="134">
        <f t="shared" si="0"/>
        <v>136</v>
      </c>
      <c r="N18" s="134">
        <v>0</v>
      </c>
      <c r="O18" s="134">
        <f t="shared" si="1"/>
        <v>1632</v>
      </c>
      <c r="P18" s="134">
        <f t="shared" si="2"/>
        <v>1632</v>
      </c>
      <c r="Q18" s="134">
        <f t="shared" si="3"/>
        <v>68</v>
      </c>
      <c r="R18" s="134">
        <f t="shared" si="4"/>
        <v>68</v>
      </c>
      <c r="S18" s="148">
        <f t="shared" si="5"/>
        <v>1496</v>
      </c>
      <c r="T18" s="151">
        <v>0</v>
      </c>
      <c r="U18" s="113">
        <f t="shared" si="14"/>
        <v>249.33333333333334</v>
      </c>
      <c r="V18" s="113">
        <f t="shared" si="14"/>
        <v>249.33333333333334</v>
      </c>
      <c r="W18" s="113">
        <f t="shared" si="14"/>
        <v>249.33333333333334</v>
      </c>
      <c r="X18" s="113">
        <f t="shared" si="14"/>
        <v>249.33333333333334</v>
      </c>
      <c r="Y18" s="113">
        <f t="shared" si="14"/>
        <v>249.33333333333334</v>
      </c>
      <c r="Z18" s="152">
        <f t="shared" si="14"/>
        <v>249.33333333333334</v>
      </c>
      <c r="AA18" s="158"/>
      <c r="AB18" s="135"/>
      <c r="AC18" s="135"/>
      <c r="AD18" s="135"/>
      <c r="AE18" s="135"/>
      <c r="AF18" s="135"/>
      <c r="AG18" s="159"/>
      <c r="AH18" s="165">
        <f t="shared" si="7"/>
        <v>0</v>
      </c>
      <c r="AI18" s="136">
        <f t="shared" si="8"/>
        <v>-249.33333333333334</v>
      </c>
      <c r="AJ18" s="136">
        <f t="shared" si="9"/>
        <v>-249.33333333333334</v>
      </c>
      <c r="AK18" s="136">
        <f t="shared" si="10"/>
        <v>-249.33333333333334</v>
      </c>
      <c r="AL18" s="136">
        <f t="shared" si="11"/>
        <v>-249.33333333333334</v>
      </c>
      <c r="AM18" s="136">
        <f t="shared" si="12"/>
        <v>-249.33333333333334</v>
      </c>
      <c r="AN18" s="166">
        <f t="shared" si="13"/>
        <v>-249.33333333333334</v>
      </c>
    </row>
    <row r="19" spans="1:40" ht="15.75" hidden="1" thickBot="1" x14ac:dyDescent="0.25">
      <c r="A19" s="128">
        <v>63</v>
      </c>
      <c r="B19" s="147">
        <v>9</v>
      </c>
      <c r="C19" s="122" t="s">
        <v>108</v>
      </c>
      <c r="D19" s="119" t="s">
        <v>209</v>
      </c>
      <c r="E19" s="119" t="s">
        <v>265</v>
      </c>
      <c r="F19" s="119" t="s">
        <v>266</v>
      </c>
      <c r="G19" s="119" t="s">
        <v>267</v>
      </c>
      <c r="H19" s="20">
        <v>1704513</v>
      </c>
      <c r="I19" s="20" t="s">
        <v>268</v>
      </c>
      <c r="J19" s="20" t="s">
        <v>114</v>
      </c>
      <c r="K19" s="21" t="s">
        <v>115</v>
      </c>
      <c r="L19" s="112">
        <v>6</v>
      </c>
      <c r="M19" s="108">
        <f t="shared" si="0"/>
        <v>24</v>
      </c>
      <c r="N19" s="108">
        <f>L19*40</f>
        <v>240</v>
      </c>
      <c r="O19" s="108">
        <f t="shared" si="1"/>
        <v>288</v>
      </c>
      <c r="P19" s="108">
        <f t="shared" si="2"/>
        <v>48</v>
      </c>
      <c r="Q19" s="108">
        <f t="shared" si="3"/>
        <v>12</v>
      </c>
      <c r="R19" s="108">
        <f t="shared" si="4"/>
        <v>12</v>
      </c>
      <c r="S19" s="148">
        <f t="shared" si="5"/>
        <v>24</v>
      </c>
      <c r="T19" s="149">
        <v>240</v>
      </c>
      <c r="U19" s="113">
        <f t="shared" si="14"/>
        <v>4</v>
      </c>
      <c r="V19" s="113">
        <f t="shared" si="14"/>
        <v>4</v>
      </c>
      <c r="W19" s="113">
        <f t="shared" si="14"/>
        <v>4</v>
      </c>
      <c r="X19" s="113">
        <f t="shared" si="14"/>
        <v>4</v>
      </c>
      <c r="Y19" s="113">
        <f t="shared" si="14"/>
        <v>4</v>
      </c>
      <c r="Z19" s="152">
        <f t="shared" si="14"/>
        <v>4</v>
      </c>
      <c r="AA19" s="156"/>
      <c r="AB19" s="1"/>
      <c r="AC19" s="1"/>
      <c r="AD19" s="1"/>
      <c r="AE19" s="1"/>
      <c r="AF19" s="1"/>
      <c r="AG19" s="157"/>
      <c r="AH19" s="163">
        <f t="shared" si="7"/>
        <v>-240</v>
      </c>
      <c r="AI19" s="110">
        <f t="shared" si="8"/>
        <v>-4</v>
      </c>
      <c r="AJ19" s="110">
        <f t="shared" si="9"/>
        <v>-4</v>
      </c>
      <c r="AK19" s="110">
        <f t="shared" si="10"/>
        <v>-4</v>
      </c>
      <c r="AL19" s="110">
        <f t="shared" si="11"/>
        <v>-4</v>
      </c>
      <c r="AM19" s="110">
        <f t="shared" si="12"/>
        <v>-4</v>
      </c>
      <c r="AN19" s="164">
        <f t="shared" si="13"/>
        <v>-4</v>
      </c>
    </row>
    <row r="20" spans="1:40" ht="2.25" hidden="1" customHeight="1" thickBot="1" x14ac:dyDescent="0.25">
      <c r="A20" s="128">
        <v>7</v>
      </c>
      <c r="B20" s="147"/>
      <c r="C20" s="122"/>
      <c r="D20" s="119"/>
      <c r="E20" s="119"/>
      <c r="F20" s="127" t="s">
        <v>446</v>
      </c>
      <c r="G20" s="127" t="s">
        <v>267</v>
      </c>
      <c r="H20" s="20"/>
      <c r="I20" s="20"/>
      <c r="J20" s="20"/>
      <c r="K20" s="21"/>
      <c r="L20" s="133">
        <f>40-L19</f>
        <v>34</v>
      </c>
      <c r="M20" s="134">
        <f t="shared" si="0"/>
        <v>136</v>
      </c>
      <c r="N20" s="134">
        <v>0</v>
      </c>
      <c r="O20" s="134">
        <f t="shared" si="1"/>
        <v>1632</v>
      </c>
      <c r="P20" s="134">
        <f t="shared" si="2"/>
        <v>1632</v>
      </c>
      <c r="Q20" s="134">
        <f t="shared" si="3"/>
        <v>68</v>
      </c>
      <c r="R20" s="134">
        <f t="shared" si="4"/>
        <v>68</v>
      </c>
      <c r="S20" s="148">
        <f t="shared" si="5"/>
        <v>1496</v>
      </c>
      <c r="T20" s="151">
        <v>0</v>
      </c>
      <c r="U20" s="113">
        <f t="shared" si="14"/>
        <v>249.33333333333334</v>
      </c>
      <c r="V20" s="113">
        <f t="shared" si="14"/>
        <v>249.33333333333334</v>
      </c>
      <c r="W20" s="113">
        <f t="shared" si="14"/>
        <v>249.33333333333334</v>
      </c>
      <c r="X20" s="113">
        <f t="shared" si="14"/>
        <v>249.33333333333334</v>
      </c>
      <c r="Y20" s="113">
        <f t="shared" si="14"/>
        <v>249.33333333333334</v>
      </c>
      <c r="Z20" s="152">
        <f t="shared" si="14"/>
        <v>249.33333333333334</v>
      </c>
      <c r="AA20" s="158"/>
      <c r="AB20" s="135"/>
      <c r="AC20" s="135"/>
      <c r="AD20" s="135"/>
      <c r="AE20" s="135"/>
      <c r="AF20" s="135"/>
      <c r="AG20" s="159"/>
      <c r="AH20" s="165">
        <f t="shared" si="7"/>
        <v>0</v>
      </c>
      <c r="AI20" s="136">
        <f t="shared" si="8"/>
        <v>-249.33333333333334</v>
      </c>
      <c r="AJ20" s="136">
        <f t="shared" si="9"/>
        <v>-249.33333333333334</v>
      </c>
      <c r="AK20" s="136">
        <f t="shared" si="10"/>
        <v>-249.33333333333334</v>
      </c>
      <c r="AL20" s="136">
        <f t="shared" si="11"/>
        <v>-249.33333333333334</v>
      </c>
      <c r="AM20" s="136">
        <f t="shared" si="12"/>
        <v>-249.33333333333334</v>
      </c>
      <c r="AN20" s="166">
        <f t="shared" si="13"/>
        <v>-249.33333333333334</v>
      </c>
    </row>
    <row r="21" spans="1:40" ht="15.75" hidden="1" thickBot="1" x14ac:dyDescent="0.25">
      <c r="A21" s="128">
        <v>12</v>
      </c>
      <c r="B21" s="146">
        <v>1</v>
      </c>
      <c r="C21" s="121" t="s">
        <v>116</v>
      </c>
      <c r="D21" s="119" t="s">
        <v>132</v>
      </c>
      <c r="E21" s="119" t="s">
        <v>137</v>
      </c>
      <c r="F21" s="119" t="s">
        <v>138</v>
      </c>
      <c r="G21" s="119" t="s">
        <v>140</v>
      </c>
      <c r="H21" s="20">
        <v>3873948</v>
      </c>
      <c r="I21" s="20" t="s">
        <v>113</v>
      </c>
      <c r="J21" s="20" t="s">
        <v>118</v>
      </c>
      <c r="K21" s="21" t="s">
        <v>122</v>
      </c>
      <c r="L21" s="112">
        <v>6</v>
      </c>
      <c r="M21" s="108">
        <f t="shared" si="0"/>
        <v>24</v>
      </c>
      <c r="N21" s="108">
        <f>L21*40</f>
        <v>240</v>
      </c>
      <c r="O21" s="108">
        <f t="shared" si="1"/>
        <v>288</v>
      </c>
      <c r="P21" s="108">
        <f t="shared" si="2"/>
        <v>48</v>
      </c>
      <c r="Q21" s="108">
        <f t="shared" si="3"/>
        <v>12</v>
      </c>
      <c r="R21" s="108">
        <f t="shared" si="4"/>
        <v>12</v>
      </c>
      <c r="S21" s="148">
        <f t="shared" si="5"/>
        <v>24</v>
      </c>
      <c r="T21" s="149">
        <v>240</v>
      </c>
      <c r="U21" s="113">
        <f t="shared" si="14"/>
        <v>4</v>
      </c>
      <c r="V21" s="113">
        <f t="shared" si="14"/>
        <v>4</v>
      </c>
      <c r="W21" s="113">
        <f t="shared" si="14"/>
        <v>4</v>
      </c>
      <c r="X21" s="113">
        <f t="shared" si="14"/>
        <v>4</v>
      </c>
      <c r="Y21" s="113">
        <f t="shared" si="14"/>
        <v>4</v>
      </c>
      <c r="Z21" s="152">
        <f t="shared" si="14"/>
        <v>4</v>
      </c>
      <c r="AA21" s="156"/>
      <c r="AB21" s="1"/>
      <c r="AC21" s="1"/>
      <c r="AD21" s="1"/>
      <c r="AE21" s="1"/>
      <c r="AF21" s="1"/>
      <c r="AG21" s="157"/>
      <c r="AH21" s="163">
        <f t="shared" si="7"/>
        <v>-240</v>
      </c>
      <c r="AI21" s="110">
        <f t="shared" si="8"/>
        <v>-4</v>
      </c>
      <c r="AJ21" s="110">
        <f t="shared" si="9"/>
        <v>-4</v>
      </c>
      <c r="AK21" s="110">
        <f t="shared" si="10"/>
        <v>-4</v>
      </c>
      <c r="AL21" s="110">
        <f t="shared" si="11"/>
        <v>-4</v>
      </c>
      <c r="AM21" s="110">
        <f t="shared" si="12"/>
        <v>-4</v>
      </c>
      <c r="AN21" s="164">
        <f t="shared" si="13"/>
        <v>-4</v>
      </c>
    </row>
    <row r="22" spans="1:40" ht="15.75" hidden="1" thickBot="1" x14ac:dyDescent="0.25">
      <c r="A22" s="128">
        <v>8</v>
      </c>
      <c r="B22" s="146"/>
      <c r="C22" s="121"/>
      <c r="D22" s="119"/>
      <c r="E22" s="119"/>
      <c r="F22" s="127" t="s">
        <v>446</v>
      </c>
      <c r="G22" s="127" t="s">
        <v>140</v>
      </c>
      <c r="H22" s="20"/>
      <c r="I22" s="20"/>
      <c r="J22" s="20"/>
      <c r="K22" s="21"/>
      <c r="L22" s="133">
        <f>40-L21</f>
        <v>34</v>
      </c>
      <c r="M22" s="134">
        <f t="shared" si="0"/>
        <v>136</v>
      </c>
      <c r="N22" s="134">
        <v>0</v>
      </c>
      <c r="O22" s="134">
        <f t="shared" si="1"/>
        <v>1632</v>
      </c>
      <c r="P22" s="134">
        <f t="shared" si="2"/>
        <v>1632</v>
      </c>
      <c r="Q22" s="134">
        <f t="shared" si="3"/>
        <v>68</v>
      </c>
      <c r="R22" s="134">
        <f t="shared" si="4"/>
        <v>68</v>
      </c>
      <c r="S22" s="148">
        <f t="shared" si="5"/>
        <v>1496</v>
      </c>
      <c r="T22" s="151">
        <v>0</v>
      </c>
      <c r="U22" s="113">
        <f t="shared" si="14"/>
        <v>249.33333333333334</v>
      </c>
      <c r="V22" s="113">
        <f t="shared" si="14"/>
        <v>249.33333333333334</v>
      </c>
      <c r="W22" s="113">
        <f t="shared" si="14"/>
        <v>249.33333333333334</v>
      </c>
      <c r="X22" s="113">
        <f t="shared" si="14"/>
        <v>249.33333333333334</v>
      </c>
      <c r="Y22" s="113">
        <f t="shared" si="14"/>
        <v>249.33333333333334</v>
      </c>
      <c r="Z22" s="152">
        <f t="shared" si="14"/>
        <v>249.33333333333334</v>
      </c>
      <c r="AA22" s="158"/>
      <c r="AB22" s="135"/>
      <c r="AC22" s="135"/>
      <c r="AD22" s="135"/>
      <c r="AE22" s="135"/>
      <c r="AF22" s="135"/>
      <c r="AG22" s="159"/>
      <c r="AH22" s="165">
        <f t="shared" si="7"/>
        <v>0</v>
      </c>
      <c r="AI22" s="136">
        <f t="shared" si="8"/>
        <v>-249.33333333333334</v>
      </c>
      <c r="AJ22" s="136">
        <f t="shared" si="9"/>
        <v>-249.33333333333334</v>
      </c>
      <c r="AK22" s="136">
        <f t="shared" si="10"/>
        <v>-249.33333333333334</v>
      </c>
      <c r="AL22" s="136">
        <f t="shared" si="11"/>
        <v>-249.33333333333334</v>
      </c>
      <c r="AM22" s="136">
        <f t="shared" si="12"/>
        <v>-249.33333333333334</v>
      </c>
      <c r="AN22" s="166">
        <f t="shared" si="13"/>
        <v>-249.33333333333334</v>
      </c>
    </row>
    <row r="23" spans="1:40" ht="15.75" hidden="1" thickBot="1" x14ac:dyDescent="0.25">
      <c r="A23" s="128">
        <v>32</v>
      </c>
      <c r="B23" s="147">
        <v>4</v>
      </c>
      <c r="C23" s="122" t="s">
        <v>108</v>
      </c>
      <c r="D23" s="119" t="s">
        <v>0</v>
      </c>
      <c r="E23" s="119" t="s">
        <v>183</v>
      </c>
      <c r="F23" s="119" t="s">
        <v>184</v>
      </c>
      <c r="G23" s="119" t="s">
        <v>185</v>
      </c>
      <c r="H23" s="20">
        <v>2556157</v>
      </c>
      <c r="I23" s="20" t="s">
        <v>113</v>
      </c>
      <c r="J23" s="20" t="s">
        <v>114</v>
      </c>
      <c r="K23" s="21" t="s">
        <v>122</v>
      </c>
      <c r="L23" s="112">
        <v>6</v>
      </c>
      <c r="M23" s="108">
        <f t="shared" si="0"/>
        <v>24</v>
      </c>
      <c r="N23" s="108">
        <f>L23*40</f>
        <v>240</v>
      </c>
      <c r="O23" s="108">
        <f t="shared" si="1"/>
        <v>288</v>
      </c>
      <c r="P23" s="108">
        <f t="shared" si="2"/>
        <v>48</v>
      </c>
      <c r="Q23" s="108">
        <f t="shared" si="3"/>
        <v>12</v>
      </c>
      <c r="R23" s="108">
        <f t="shared" si="4"/>
        <v>12</v>
      </c>
      <c r="S23" s="148">
        <f t="shared" si="5"/>
        <v>24</v>
      </c>
      <c r="T23" s="149">
        <v>240</v>
      </c>
      <c r="U23" s="113">
        <f t="shared" si="14"/>
        <v>4</v>
      </c>
      <c r="V23" s="113">
        <f t="shared" si="14"/>
        <v>4</v>
      </c>
      <c r="W23" s="113">
        <f t="shared" si="14"/>
        <v>4</v>
      </c>
      <c r="X23" s="113">
        <f t="shared" si="14"/>
        <v>4</v>
      </c>
      <c r="Y23" s="113">
        <f t="shared" si="14"/>
        <v>4</v>
      </c>
      <c r="Z23" s="152">
        <f t="shared" si="14"/>
        <v>4</v>
      </c>
      <c r="AA23" s="156"/>
      <c r="AB23" s="1"/>
      <c r="AC23" s="1"/>
      <c r="AD23" s="1"/>
      <c r="AE23" s="1"/>
      <c r="AF23" s="1"/>
      <c r="AG23" s="157"/>
      <c r="AH23" s="163">
        <f t="shared" si="7"/>
        <v>-240</v>
      </c>
      <c r="AI23" s="110">
        <f t="shared" si="8"/>
        <v>-4</v>
      </c>
      <c r="AJ23" s="110">
        <f t="shared" si="9"/>
        <v>-4</v>
      </c>
      <c r="AK23" s="110">
        <f t="shared" si="10"/>
        <v>-4</v>
      </c>
      <c r="AL23" s="110">
        <f t="shared" si="11"/>
        <v>-4</v>
      </c>
      <c r="AM23" s="110">
        <f t="shared" si="12"/>
        <v>-4</v>
      </c>
      <c r="AN23" s="164">
        <f t="shared" si="13"/>
        <v>-4</v>
      </c>
    </row>
    <row r="24" spans="1:40" ht="15.75" hidden="1" thickBot="1" x14ac:dyDescent="0.25">
      <c r="A24" s="128">
        <v>37</v>
      </c>
      <c r="B24" s="147">
        <v>5</v>
      </c>
      <c r="C24" s="122" t="s">
        <v>108</v>
      </c>
      <c r="D24" s="119" t="s">
        <v>0</v>
      </c>
      <c r="E24" s="119" t="s">
        <v>198</v>
      </c>
      <c r="F24" s="123" t="s">
        <v>199</v>
      </c>
      <c r="G24" s="119" t="s">
        <v>185</v>
      </c>
      <c r="H24" s="20">
        <v>2556157</v>
      </c>
      <c r="I24" s="20" t="s">
        <v>113</v>
      </c>
      <c r="J24" s="20" t="s">
        <v>114</v>
      </c>
      <c r="K24" s="21" t="s">
        <v>122</v>
      </c>
      <c r="L24" s="112">
        <v>6</v>
      </c>
      <c r="M24" s="108">
        <f t="shared" si="0"/>
        <v>24</v>
      </c>
      <c r="N24" s="108">
        <f>L24*40</f>
        <v>240</v>
      </c>
      <c r="O24" s="108">
        <f t="shared" si="1"/>
        <v>288</v>
      </c>
      <c r="P24" s="108">
        <f t="shared" si="2"/>
        <v>48</v>
      </c>
      <c r="Q24" s="108">
        <f t="shared" si="3"/>
        <v>12</v>
      </c>
      <c r="R24" s="108">
        <f t="shared" si="4"/>
        <v>12</v>
      </c>
      <c r="S24" s="148">
        <f t="shared" si="5"/>
        <v>24</v>
      </c>
      <c r="T24" s="149">
        <v>240</v>
      </c>
      <c r="U24" s="113">
        <f t="shared" ref="U24:Z33" si="15">$S24/6</f>
        <v>4</v>
      </c>
      <c r="V24" s="113">
        <f t="shared" si="15"/>
        <v>4</v>
      </c>
      <c r="W24" s="113">
        <f t="shared" si="15"/>
        <v>4</v>
      </c>
      <c r="X24" s="113">
        <f t="shared" si="15"/>
        <v>4</v>
      </c>
      <c r="Y24" s="113">
        <f t="shared" si="15"/>
        <v>4</v>
      </c>
      <c r="Z24" s="152">
        <f t="shared" si="15"/>
        <v>4</v>
      </c>
      <c r="AA24" s="156"/>
      <c r="AB24" s="1"/>
      <c r="AC24" s="1"/>
      <c r="AD24" s="1"/>
      <c r="AE24" s="1"/>
      <c r="AF24" s="1"/>
      <c r="AG24" s="157"/>
      <c r="AH24" s="163">
        <f t="shared" si="7"/>
        <v>-240</v>
      </c>
      <c r="AI24" s="110">
        <f t="shared" si="8"/>
        <v>-4</v>
      </c>
      <c r="AJ24" s="110">
        <f t="shared" si="9"/>
        <v>-4</v>
      </c>
      <c r="AK24" s="110">
        <f t="shared" si="10"/>
        <v>-4</v>
      </c>
      <c r="AL24" s="110">
        <f t="shared" si="11"/>
        <v>-4</v>
      </c>
      <c r="AM24" s="110">
        <f t="shared" si="12"/>
        <v>-4</v>
      </c>
      <c r="AN24" s="164">
        <f t="shared" si="13"/>
        <v>-4</v>
      </c>
    </row>
    <row r="25" spans="1:40" ht="15.75" hidden="1" thickBot="1" x14ac:dyDescent="0.25">
      <c r="A25" s="128">
        <v>9</v>
      </c>
      <c r="B25" s="147"/>
      <c r="C25" s="122"/>
      <c r="D25" s="119"/>
      <c r="E25" s="119"/>
      <c r="F25" s="127" t="s">
        <v>446</v>
      </c>
      <c r="G25" s="127" t="s">
        <v>185</v>
      </c>
      <c r="H25" s="20"/>
      <c r="I25" s="20"/>
      <c r="J25" s="20"/>
      <c r="K25" s="21"/>
      <c r="L25" s="133">
        <f>40-(L23+L24)</f>
        <v>28</v>
      </c>
      <c r="M25" s="134">
        <f t="shared" si="0"/>
        <v>112</v>
      </c>
      <c r="N25" s="134">
        <v>0</v>
      </c>
      <c r="O25" s="134">
        <f t="shared" si="1"/>
        <v>1344</v>
      </c>
      <c r="P25" s="134">
        <f t="shared" si="2"/>
        <v>1344</v>
      </c>
      <c r="Q25" s="134">
        <f t="shared" si="3"/>
        <v>56</v>
      </c>
      <c r="R25" s="134">
        <f t="shared" si="4"/>
        <v>56</v>
      </c>
      <c r="S25" s="148">
        <f t="shared" si="5"/>
        <v>1232</v>
      </c>
      <c r="T25" s="151">
        <v>0</v>
      </c>
      <c r="U25" s="113">
        <f t="shared" si="15"/>
        <v>205.33333333333334</v>
      </c>
      <c r="V25" s="113">
        <f t="shared" si="15"/>
        <v>205.33333333333334</v>
      </c>
      <c r="W25" s="113">
        <f t="shared" si="15"/>
        <v>205.33333333333334</v>
      </c>
      <c r="X25" s="113">
        <f t="shared" si="15"/>
        <v>205.33333333333334</v>
      </c>
      <c r="Y25" s="113">
        <f t="shared" si="15"/>
        <v>205.33333333333334</v>
      </c>
      <c r="Z25" s="152">
        <f t="shared" si="15"/>
        <v>205.33333333333334</v>
      </c>
      <c r="AA25" s="158"/>
      <c r="AB25" s="135"/>
      <c r="AC25" s="135"/>
      <c r="AD25" s="135"/>
      <c r="AE25" s="135"/>
      <c r="AF25" s="135"/>
      <c r="AG25" s="159"/>
      <c r="AH25" s="165">
        <f t="shared" si="7"/>
        <v>0</v>
      </c>
      <c r="AI25" s="136">
        <f t="shared" si="8"/>
        <v>-205.33333333333334</v>
      </c>
      <c r="AJ25" s="136">
        <f t="shared" si="9"/>
        <v>-205.33333333333334</v>
      </c>
      <c r="AK25" s="136">
        <f t="shared" si="10"/>
        <v>-205.33333333333334</v>
      </c>
      <c r="AL25" s="136">
        <f t="shared" si="11"/>
        <v>-205.33333333333334</v>
      </c>
      <c r="AM25" s="136">
        <f t="shared" si="12"/>
        <v>-205.33333333333334</v>
      </c>
      <c r="AN25" s="166">
        <f t="shared" si="13"/>
        <v>-205.33333333333334</v>
      </c>
    </row>
    <row r="26" spans="1:40" ht="15.75" hidden="1" thickBot="1" x14ac:dyDescent="0.25">
      <c r="A26" s="128">
        <v>41</v>
      </c>
      <c r="B26" s="147">
        <v>5</v>
      </c>
      <c r="C26" s="122" t="s">
        <v>108</v>
      </c>
      <c r="D26" s="119" t="s">
        <v>209</v>
      </c>
      <c r="E26" s="119" t="s">
        <v>206</v>
      </c>
      <c r="F26" s="119" t="s">
        <v>210</v>
      </c>
      <c r="G26" s="119" t="s">
        <v>211</v>
      </c>
      <c r="H26" s="20">
        <v>4187421</v>
      </c>
      <c r="I26" s="20" t="s">
        <v>212</v>
      </c>
      <c r="J26" s="20" t="s">
        <v>118</v>
      </c>
      <c r="K26" s="21" t="s">
        <v>213</v>
      </c>
      <c r="L26" s="112">
        <v>6</v>
      </c>
      <c r="M26" s="108">
        <f t="shared" si="0"/>
        <v>24</v>
      </c>
      <c r="N26" s="108">
        <f>L26*40</f>
        <v>240</v>
      </c>
      <c r="O26" s="108">
        <f t="shared" si="1"/>
        <v>288</v>
      </c>
      <c r="P26" s="108">
        <f t="shared" si="2"/>
        <v>48</v>
      </c>
      <c r="Q26" s="108">
        <f t="shared" si="3"/>
        <v>12</v>
      </c>
      <c r="R26" s="108">
        <f t="shared" si="4"/>
        <v>12</v>
      </c>
      <c r="S26" s="148">
        <f t="shared" si="5"/>
        <v>24</v>
      </c>
      <c r="T26" s="149">
        <v>240</v>
      </c>
      <c r="U26" s="113">
        <f t="shared" si="15"/>
        <v>4</v>
      </c>
      <c r="V26" s="113">
        <f t="shared" si="15"/>
        <v>4</v>
      </c>
      <c r="W26" s="113">
        <f t="shared" si="15"/>
        <v>4</v>
      </c>
      <c r="X26" s="113">
        <f t="shared" si="15"/>
        <v>4</v>
      </c>
      <c r="Y26" s="113">
        <f t="shared" si="15"/>
        <v>4</v>
      </c>
      <c r="Z26" s="152">
        <f t="shared" si="15"/>
        <v>4</v>
      </c>
      <c r="AA26" s="156"/>
      <c r="AB26" s="1"/>
      <c r="AC26" s="1"/>
      <c r="AD26" s="1"/>
      <c r="AE26" s="1"/>
      <c r="AF26" s="1"/>
      <c r="AG26" s="157"/>
      <c r="AH26" s="163">
        <f t="shared" si="7"/>
        <v>-240</v>
      </c>
      <c r="AI26" s="110">
        <f t="shared" si="8"/>
        <v>-4</v>
      </c>
      <c r="AJ26" s="110">
        <f t="shared" si="9"/>
        <v>-4</v>
      </c>
      <c r="AK26" s="110">
        <f t="shared" si="10"/>
        <v>-4</v>
      </c>
      <c r="AL26" s="110">
        <f t="shared" si="11"/>
        <v>-4</v>
      </c>
      <c r="AM26" s="110">
        <f t="shared" si="12"/>
        <v>-4</v>
      </c>
      <c r="AN26" s="164">
        <f t="shared" si="13"/>
        <v>-4</v>
      </c>
    </row>
    <row r="27" spans="1:40" ht="15.75" hidden="1" thickBot="1" x14ac:dyDescent="0.25">
      <c r="A27" s="128">
        <v>10</v>
      </c>
      <c r="B27" s="147"/>
      <c r="C27" s="122"/>
      <c r="D27" s="119"/>
      <c r="E27" s="119"/>
      <c r="F27" s="127" t="s">
        <v>446</v>
      </c>
      <c r="G27" s="127" t="s">
        <v>211</v>
      </c>
      <c r="H27" s="20"/>
      <c r="I27" s="20"/>
      <c r="J27" s="20"/>
      <c r="K27" s="21"/>
      <c r="L27" s="133">
        <f>40-L26</f>
        <v>34</v>
      </c>
      <c r="M27" s="134">
        <f t="shared" si="0"/>
        <v>136</v>
      </c>
      <c r="N27" s="134">
        <v>0</v>
      </c>
      <c r="O27" s="134">
        <f t="shared" si="1"/>
        <v>1632</v>
      </c>
      <c r="P27" s="134">
        <f t="shared" si="2"/>
        <v>1632</v>
      </c>
      <c r="Q27" s="134">
        <f t="shared" si="3"/>
        <v>68</v>
      </c>
      <c r="R27" s="134">
        <f t="shared" si="4"/>
        <v>68</v>
      </c>
      <c r="S27" s="148">
        <f t="shared" si="5"/>
        <v>1496</v>
      </c>
      <c r="T27" s="151">
        <v>0</v>
      </c>
      <c r="U27" s="113">
        <f t="shared" si="15"/>
        <v>249.33333333333334</v>
      </c>
      <c r="V27" s="113">
        <f t="shared" si="15"/>
        <v>249.33333333333334</v>
      </c>
      <c r="W27" s="113">
        <f t="shared" si="15"/>
        <v>249.33333333333334</v>
      </c>
      <c r="X27" s="113">
        <f t="shared" si="15"/>
        <v>249.33333333333334</v>
      </c>
      <c r="Y27" s="113">
        <f t="shared" si="15"/>
        <v>249.33333333333334</v>
      </c>
      <c r="Z27" s="152">
        <f t="shared" si="15"/>
        <v>249.33333333333334</v>
      </c>
      <c r="AA27" s="158"/>
      <c r="AB27" s="135"/>
      <c r="AC27" s="135"/>
      <c r="AD27" s="135"/>
      <c r="AE27" s="135"/>
      <c r="AF27" s="135"/>
      <c r="AG27" s="159"/>
      <c r="AH27" s="165">
        <f t="shared" si="7"/>
        <v>0</v>
      </c>
      <c r="AI27" s="136">
        <f t="shared" si="8"/>
        <v>-249.33333333333334</v>
      </c>
      <c r="AJ27" s="136">
        <f t="shared" si="9"/>
        <v>-249.33333333333334</v>
      </c>
      <c r="AK27" s="136">
        <f t="shared" si="10"/>
        <v>-249.33333333333334</v>
      </c>
      <c r="AL27" s="136">
        <f t="shared" si="11"/>
        <v>-249.33333333333334</v>
      </c>
      <c r="AM27" s="136">
        <f t="shared" si="12"/>
        <v>-249.33333333333334</v>
      </c>
      <c r="AN27" s="166">
        <f t="shared" si="13"/>
        <v>-249.33333333333334</v>
      </c>
    </row>
    <row r="28" spans="1:40" ht="15.75" hidden="1" thickBot="1" x14ac:dyDescent="0.25">
      <c r="A28" s="128">
        <v>33</v>
      </c>
      <c r="B28" s="147">
        <v>4</v>
      </c>
      <c r="C28" s="122" t="s">
        <v>108</v>
      </c>
      <c r="D28" s="119" t="s">
        <v>132</v>
      </c>
      <c r="E28" s="119" t="s">
        <v>186</v>
      </c>
      <c r="F28" s="119" t="s">
        <v>187</v>
      </c>
      <c r="G28" s="119" t="s">
        <v>188</v>
      </c>
      <c r="H28" s="20">
        <v>3453194</v>
      </c>
      <c r="I28" s="20" t="s">
        <v>113</v>
      </c>
      <c r="J28" s="20" t="s">
        <v>118</v>
      </c>
      <c r="K28" s="21" t="s">
        <v>122</v>
      </c>
      <c r="L28" s="112">
        <v>6</v>
      </c>
      <c r="M28" s="108">
        <f t="shared" si="0"/>
        <v>24</v>
      </c>
      <c r="N28" s="108">
        <f>L28*40</f>
        <v>240</v>
      </c>
      <c r="O28" s="108">
        <f t="shared" si="1"/>
        <v>288</v>
      </c>
      <c r="P28" s="108">
        <f t="shared" si="2"/>
        <v>48</v>
      </c>
      <c r="Q28" s="108">
        <f t="shared" si="3"/>
        <v>12</v>
      </c>
      <c r="R28" s="108">
        <f t="shared" si="4"/>
        <v>12</v>
      </c>
      <c r="S28" s="148">
        <f t="shared" si="5"/>
        <v>24</v>
      </c>
      <c r="T28" s="149">
        <v>240</v>
      </c>
      <c r="U28" s="113">
        <f t="shared" si="15"/>
        <v>4</v>
      </c>
      <c r="V28" s="113">
        <f t="shared" si="15"/>
        <v>4</v>
      </c>
      <c r="W28" s="113">
        <f t="shared" si="15"/>
        <v>4</v>
      </c>
      <c r="X28" s="113">
        <f t="shared" si="15"/>
        <v>4</v>
      </c>
      <c r="Y28" s="113">
        <f t="shared" si="15"/>
        <v>4</v>
      </c>
      <c r="Z28" s="152">
        <f t="shared" si="15"/>
        <v>4</v>
      </c>
      <c r="AA28" s="156"/>
      <c r="AB28" s="1"/>
      <c r="AC28" s="1"/>
      <c r="AD28" s="1"/>
      <c r="AE28" s="1"/>
      <c r="AF28" s="1"/>
      <c r="AG28" s="157"/>
      <c r="AH28" s="163">
        <f t="shared" si="7"/>
        <v>-240</v>
      </c>
      <c r="AI28" s="110">
        <f t="shared" si="8"/>
        <v>-4</v>
      </c>
      <c r="AJ28" s="110">
        <f t="shared" si="9"/>
        <v>-4</v>
      </c>
      <c r="AK28" s="110">
        <f t="shared" si="10"/>
        <v>-4</v>
      </c>
      <c r="AL28" s="110">
        <f t="shared" si="11"/>
        <v>-4</v>
      </c>
      <c r="AM28" s="110">
        <f t="shared" si="12"/>
        <v>-4</v>
      </c>
      <c r="AN28" s="164">
        <f t="shared" si="13"/>
        <v>-4</v>
      </c>
    </row>
    <row r="29" spans="1:40" ht="15.75" hidden="1" thickBot="1" x14ac:dyDescent="0.25">
      <c r="A29" s="128">
        <v>11</v>
      </c>
      <c r="B29" s="147"/>
      <c r="C29" s="122"/>
      <c r="D29" s="119"/>
      <c r="E29" s="119"/>
      <c r="F29" s="127" t="s">
        <v>446</v>
      </c>
      <c r="G29" s="127" t="s">
        <v>188</v>
      </c>
      <c r="H29" s="20"/>
      <c r="I29" s="20"/>
      <c r="J29" s="20"/>
      <c r="K29" s="21"/>
      <c r="L29" s="133">
        <f>40-L28</f>
        <v>34</v>
      </c>
      <c r="M29" s="134">
        <f t="shared" si="0"/>
        <v>136</v>
      </c>
      <c r="N29" s="134">
        <v>0</v>
      </c>
      <c r="O29" s="134">
        <f t="shared" si="1"/>
        <v>1632</v>
      </c>
      <c r="P29" s="134">
        <f t="shared" si="2"/>
        <v>1632</v>
      </c>
      <c r="Q29" s="134">
        <f t="shared" si="3"/>
        <v>68</v>
      </c>
      <c r="R29" s="134">
        <f t="shared" si="4"/>
        <v>68</v>
      </c>
      <c r="S29" s="148">
        <f t="shared" si="5"/>
        <v>1496</v>
      </c>
      <c r="T29" s="151">
        <v>0</v>
      </c>
      <c r="U29" s="113">
        <f t="shared" si="15"/>
        <v>249.33333333333334</v>
      </c>
      <c r="V29" s="113">
        <f t="shared" si="15"/>
        <v>249.33333333333334</v>
      </c>
      <c r="W29" s="113">
        <f t="shared" si="15"/>
        <v>249.33333333333334</v>
      </c>
      <c r="X29" s="113">
        <f t="shared" si="15"/>
        <v>249.33333333333334</v>
      </c>
      <c r="Y29" s="113">
        <f t="shared" si="15"/>
        <v>249.33333333333334</v>
      </c>
      <c r="Z29" s="152">
        <f t="shared" si="15"/>
        <v>249.33333333333334</v>
      </c>
      <c r="AA29" s="158"/>
      <c r="AB29" s="135"/>
      <c r="AC29" s="135"/>
      <c r="AD29" s="135"/>
      <c r="AE29" s="135"/>
      <c r="AF29" s="135"/>
      <c r="AG29" s="159"/>
      <c r="AH29" s="165">
        <f t="shared" si="7"/>
        <v>0</v>
      </c>
      <c r="AI29" s="136">
        <f t="shared" si="8"/>
        <v>-249.33333333333334</v>
      </c>
      <c r="AJ29" s="136">
        <f t="shared" si="9"/>
        <v>-249.33333333333334</v>
      </c>
      <c r="AK29" s="136">
        <f t="shared" si="10"/>
        <v>-249.33333333333334</v>
      </c>
      <c r="AL29" s="136">
        <f t="shared" si="11"/>
        <v>-249.33333333333334</v>
      </c>
      <c r="AM29" s="136">
        <f t="shared" si="12"/>
        <v>-249.33333333333334</v>
      </c>
      <c r="AN29" s="166">
        <f t="shared" si="13"/>
        <v>-249.33333333333334</v>
      </c>
    </row>
    <row r="30" spans="1:40" ht="15.75" hidden="1" thickBot="1" x14ac:dyDescent="0.25">
      <c r="A30" s="128">
        <v>26</v>
      </c>
      <c r="B30" s="147">
        <v>3</v>
      </c>
      <c r="C30" s="122" t="s">
        <v>116</v>
      </c>
      <c r="D30" s="119" t="s">
        <v>109</v>
      </c>
      <c r="E30" s="119" t="s">
        <v>166</v>
      </c>
      <c r="F30" s="119" t="s">
        <v>167</v>
      </c>
      <c r="G30" s="119" t="s">
        <v>169</v>
      </c>
      <c r="H30" s="20">
        <v>676041</v>
      </c>
      <c r="I30" s="20" t="s">
        <v>113</v>
      </c>
      <c r="J30" s="20" t="s">
        <v>118</v>
      </c>
      <c r="K30" s="21" t="s">
        <v>122</v>
      </c>
      <c r="L30" s="112">
        <v>6</v>
      </c>
      <c r="M30" s="108">
        <f t="shared" si="0"/>
        <v>24</v>
      </c>
      <c r="N30" s="108">
        <f>L30*40</f>
        <v>240</v>
      </c>
      <c r="O30" s="108">
        <f t="shared" si="1"/>
        <v>288</v>
      </c>
      <c r="P30" s="108">
        <f t="shared" si="2"/>
        <v>48</v>
      </c>
      <c r="Q30" s="108">
        <f t="shared" si="3"/>
        <v>12</v>
      </c>
      <c r="R30" s="108">
        <f t="shared" si="4"/>
        <v>12</v>
      </c>
      <c r="S30" s="148">
        <f t="shared" si="5"/>
        <v>24</v>
      </c>
      <c r="T30" s="149">
        <v>240</v>
      </c>
      <c r="U30" s="113">
        <f t="shared" si="15"/>
        <v>4</v>
      </c>
      <c r="V30" s="113">
        <f t="shared" si="15"/>
        <v>4</v>
      </c>
      <c r="W30" s="113">
        <f t="shared" si="15"/>
        <v>4</v>
      </c>
      <c r="X30" s="113">
        <f t="shared" si="15"/>
        <v>4</v>
      </c>
      <c r="Y30" s="113">
        <f t="shared" si="15"/>
        <v>4</v>
      </c>
      <c r="Z30" s="152">
        <f t="shared" si="15"/>
        <v>4</v>
      </c>
      <c r="AA30" s="156"/>
      <c r="AB30" s="1"/>
      <c r="AC30" s="1"/>
      <c r="AD30" s="1"/>
      <c r="AE30" s="1"/>
      <c r="AF30" s="1"/>
      <c r="AG30" s="157"/>
      <c r="AH30" s="163">
        <f t="shared" si="7"/>
        <v>-240</v>
      </c>
      <c r="AI30" s="110">
        <f t="shared" si="8"/>
        <v>-4</v>
      </c>
      <c r="AJ30" s="110">
        <f t="shared" si="9"/>
        <v>-4</v>
      </c>
      <c r="AK30" s="110">
        <f t="shared" si="10"/>
        <v>-4</v>
      </c>
      <c r="AL30" s="110">
        <f t="shared" si="11"/>
        <v>-4</v>
      </c>
      <c r="AM30" s="110">
        <f t="shared" si="12"/>
        <v>-4</v>
      </c>
      <c r="AN30" s="164">
        <f t="shared" si="13"/>
        <v>-4</v>
      </c>
    </row>
    <row r="31" spans="1:40" ht="15.75" hidden="1" thickBot="1" x14ac:dyDescent="0.25">
      <c r="A31" s="128">
        <v>12</v>
      </c>
      <c r="B31" s="147"/>
      <c r="C31" s="122"/>
      <c r="D31" s="119"/>
      <c r="E31" s="119"/>
      <c r="F31" s="127" t="s">
        <v>446</v>
      </c>
      <c r="G31" s="127" t="s">
        <v>169</v>
      </c>
      <c r="H31" s="20"/>
      <c r="I31" s="24"/>
      <c r="J31" s="20"/>
      <c r="K31" s="106"/>
      <c r="L31" s="133">
        <f>40-L30</f>
        <v>34</v>
      </c>
      <c r="M31" s="134">
        <f t="shared" si="0"/>
        <v>136</v>
      </c>
      <c r="N31" s="134">
        <v>0</v>
      </c>
      <c r="O31" s="134">
        <f t="shared" si="1"/>
        <v>1632</v>
      </c>
      <c r="P31" s="134">
        <f t="shared" si="2"/>
        <v>1632</v>
      </c>
      <c r="Q31" s="134">
        <f t="shared" si="3"/>
        <v>68</v>
      </c>
      <c r="R31" s="134">
        <f t="shared" si="4"/>
        <v>68</v>
      </c>
      <c r="S31" s="148">
        <f t="shared" si="5"/>
        <v>1496</v>
      </c>
      <c r="T31" s="151">
        <v>0</v>
      </c>
      <c r="U31" s="113">
        <f t="shared" si="15"/>
        <v>249.33333333333334</v>
      </c>
      <c r="V31" s="113">
        <f t="shared" si="15"/>
        <v>249.33333333333334</v>
      </c>
      <c r="W31" s="113">
        <f t="shared" si="15"/>
        <v>249.33333333333334</v>
      </c>
      <c r="X31" s="113">
        <f t="shared" si="15"/>
        <v>249.33333333333334</v>
      </c>
      <c r="Y31" s="113">
        <f t="shared" si="15"/>
        <v>249.33333333333334</v>
      </c>
      <c r="Z31" s="152">
        <f t="shared" si="15"/>
        <v>249.33333333333334</v>
      </c>
      <c r="AA31" s="158"/>
      <c r="AB31" s="135"/>
      <c r="AC31" s="135"/>
      <c r="AD31" s="135"/>
      <c r="AE31" s="135"/>
      <c r="AF31" s="135"/>
      <c r="AG31" s="159"/>
      <c r="AH31" s="165">
        <f t="shared" si="7"/>
        <v>0</v>
      </c>
      <c r="AI31" s="136">
        <f t="shared" si="8"/>
        <v>-249.33333333333334</v>
      </c>
      <c r="AJ31" s="136">
        <f t="shared" si="9"/>
        <v>-249.33333333333334</v>
      </c>
      <c r="AK31" s="136">
        <f t="shared" si="10"/>
        <v>-249.33333333333334</v>
      </c>
      <c r="AL31" s="136">
        <f t="shared" si="11"/>
        <v>-249.33333333333334</v>
      </c>
      <c r="AM31" s="136">
        <f t="shared" si="12"/>
        <v>-249.33333333333334</v>
      </c>
      <c r="AN31" s="166">
        <f t="shared" si="13"/>
        <v>-249.33333333333334</v>
      </c>
    </row>
    <row r="32" spans="1:40" ht="15.75" hidden="1" thickBot="1" x14ac:dyDescent="0.25">
      <c r="A32" s="128">
        <v>72</v>
      </c>
      <c r="B32" s="147">
        <v>10</v>
      </c>
      <c r="C32" s="122" t="s">
        <v>108</v>
      </c>
      <c r="D32" s="119" t="s">
        <v>209</v>
      </c>
      <c r="E32" s="119" t="s">
        <v>292</v>
      </c>
      <c r="F32" s="119" t="s">
        <v>293</v>
      </c>
      <c r="G32" s="119" t="s">
        <v>294</v>
      </c>
      <c r="H32" s="20">
        <v>5635460</v>
      </c>
      <c r="I32" s="22" t="s">
        <v>113</v>
      </c>
      <c r="J32" s="20" t="s">
        <v>118</v>
      </c>
      <c r="K32" s="106" t="s">
        <v>122</v>
      </c>
      <c r="L32" s="112">
        <v>10</v>
      </c>
      <c r="M32" s="108">
        <f t="shared" si="0"/>
        <v>40</v>
      </c>
      <c r="N32" s="108">
        <f>L32*40</f>
        <v>400</v>
      </c>
      <c r="O32" s="108">
        <f t="shared" si="1"/>
        <v>480</v>
      </c>
      <c r="P32" s="108">
        <f t="shared" si="2"/>
        <v>80</v>
      </c>
      <c r="Q32" s="108">
        <f t="shared" si="3"/>
        <v>20</v>
      </c>
      <c r="R32" s="108">
        <f t="shared" si="4"/>
        <v>20</v>
      </c>
      <c r="S32" s="148">
        <f t="shared" si="5"/>
        <v>40</v>
      </c>
      <c r="T32" s="149">
        <v>240</v>
      </c>
      <c r="U32" s="113">
        <f t="shared" si="15"/>
        <v>6.666666666666667</v>
      </c>
      <c r="V32" s="113">
        <f t="shared" si="15"/>
        <v>6.666666666666667</v>
      </c>
      <c r="W32" s="113">
        <f t="shared" si="15"/>
        <v>6.666666666666667</v>
      </c>
      <c r="X32" s="113">
        <f t="shared" si="15"/>
        <v>6.666666666666667</v>
      </c>
      <c r="Y32" s="113">
        <f t="shared" si="15"/>
        <v>6.666666666666667</v>
      </c>
      <c r="Z32" s="152">
        <f t="shared" si="15"/>
        <v>6.666666666666667</v>
      </c>
      <c r="AA32" s="156"/>
      <c r="AB32" s="1"/>
      <c r="AC32" s="1"/>
      <c r="AD32" s="1"/>
      <c r="AE32" s="1"/>
      <c r="AF32" s="1"/>
      <c r="AG32" s="157"/>
      <c r="AH32" s="163">
        <f t="shared" si="7"/>
        <v>-240</v>
      </c>
      <c r="AI32" s="110">
        <f t="shared" si="8"/>
        <v>-6.666666666666667</v>
      </c>
      <c r="AJ32" s="110">
        <f t="shared" si="9"/>
        <v>-6.666666666666667</v>
      </c>
      <c r="AK32" s="110">
        <f t="shared" si="10"/>
        <v>-6.666666666666667</v>
      </c>
      <c r="AL32" s="110">
        <f t="shared" si="11"/>
        <v>-6.666666666666667</v>
      </c>
      <c r="AM32" s="110">
        <f t="shared" si="12"/>
        <v>-6.666666666666667</v>
      </c>
      <c r="AN32" s="164">
        <f t="shared" si="13"/>
        <v>-6.666666666666667</v>
      </c>
    </row>
    <row r="33" spans="1:40" ht="15.75" hidden="1" thickBot="1" x14ac:dyDescent="0.25">
      <c r="A33" s="128">
        <v>13</v>
      </c>
      <c r="B33" s="147"/>
      <c r="C33" s="122"/>
      <c r="D33" s="119"/>
      <c r="E33" s="119"/>
      <c r="F33" s="127" t="s">
        <v>446</v>
      </c>
      <c r="G33" s="127" t="s">
        <v>294</v>
      </c>
      <c r="H33" s="20"/>
      <c r="I33" s="24"/>
      <c r="J33" s="20"/>
      <c r="K33" s="106"/>
      <c r="L33" s="133">
        <f>40-L32</f>
        <v>30</v>
      </c>
      <c r="M33" s="134">
        <f t="shared" si="0"/>
        <v>120</v>
      </c>
      <c r="N33" s="134">
        <v>0</v>
      </c>
      <c r="O33" s="134">
        <f t="shared" si="1"/>
        <v>1440</v>
      </c>
      <c r="P33" s="134">
        <f t="shared" si="2"/>
        <v>1440</v>
      </c>
      <c r="Q33" s="134">
        <f t="shared" si="3"/>
        <v>60</v>
      </c>
      <c r="R33" s="134">
        <f t="shared" si="4"/>
        <v>60</v>
      </c>
      <c r="S33" s="148">
        <f t="shared" si="5"/>
        <v>1320</v>
      </c>
      <c r="T33" s="151">
        <v>0</v>
      </c>
      <c r="U33" s="113">
        <f t="shared" si="15"/>
        <v>220</v>
      </c>
      <c r="V33" s="113">
        <f t="shared" si="15"/>
        <v>220</v>
      </c>
      <c r="W33" s="113">
        <f t="shared" si="15"/>
        <v>220</v>
      </c>
      <c r="X33" s="113">
        <f t="shared" si="15"/>
        <v>220</v>
      </c>
      <c r="Y33" s="113">
        <f t="shared" si="15"/>
        <v>220</v>
      </c>
      <c r="Z33" s="152">
        <f t="shared" si="15"/>
        <v>220</v>
      </c>
      <c r="AA33" s="158"/>
      <c r="AB33" s="135"/>
      <c r="AC33" s="135"/>
      <c r="AD33" s="135"/>
      <c r="AE33" s="135"/>
      <c r="AF33" s="135"/>
      <c r="AG33" s="159"/>
      <c r="AH33" s="165">
        <f t="shared" si="7"/>
        <v>0</v>
      </c>
      <c r="AI33" s="136">
        <f t="shared" si="8"/>
        <v>-220</v>
      </c>
      <c r="AJ33" s="136">
        <f t="shared" si="9"/>
        <v>-220</v>
      </c>
      <c r="AK33" s="136">
        <f t="shared" si="10"/>
        <v>-220</v>
      </c>
      <c r="AL33" s="136">
        <f t="shared" si="11"/>
        <v>-220</v>
      </c>
      <c r="AM33" s="136">
        <f t="shared" si="12"/>
        <v>-220</v>
      </c>
      <c r="AN33" s="166">
        <f t="shared" si="13"/>
        <v>-220</v>
      </c>
    </row>
    <row r="34" spans="1:40" ht="15.75" hidden="1" thickBot="1" x14ac:dyDescent="0.25">
      <c r="A34" s="128">
        <v>29</v>
      </c>
      <c r="B34" s="147">
        <v>3</v>
      </c>
      <c r="C34" s="122" t="s">
        <v>108</v>
      </c>
      <c r="D34" s="119" t="s">
        <v>0</v>
      </c>
      <c r="E34" s="119" t="s">
        <v>175</v>
      </c>
      <c r="F34" s="119" t="s">
        <v>176</v>
      </c>
      <c r="G34" s="119" t="s">
        <v>177</v>
      </c>
      <c r="H34" s="20">
        <v>4192262</v>
      </c>
      <c r="I34" s="20" t="s">
        <v>113</v>
      </c>
      <c r="J34" s="20" t="s">
        <v>118</v>
      </c>
      <c r="K34" s="105" t="s">
        <v>122</v>
      </c>
      <c r="L34" s="112">
        <v>6</v>
      </c>
      <c r="M34" s="108">
        <f t="shared" si="0"/>
        <v>24</v>
      </c>
      <c r="N34" s="108">
        <f>L34*40</f>
        <v>240</v>
      </c>
      <c r="O34" s="108">
        <f t="shared" si="1"/>
        <v>288</v>
      </c>
      <c r="P34" s="108">
        <f t="shared" si="2"/>
        <v>48</v>
      </c>
      <c r="Q34" s="108">
        <f t="shared" si="3"/>
        <v>12</v>
      </c>
      <c r="R34" s="108">
        <f t="shared" si="4"/>
        <v>12</v>
      </c>
      <c r="S34" s="148">
        <f t="shared" si="5"/>
        <v>24</v>
      </c>
      <c r="T34" s="149">
        <v>240</v>
      </c>
      <c r="U34" s="113">
        <f t="shared" ref="U34:Z43" si="16">$S34/6</f>
        <v>4</v>
      </c>
      <c r="V34" s="113">
        <f t="shared" si="16"/>
        <v>4</v>
      </c>
      <c r="W34" s="113">
        <f t="shared" si="16"/>
        <v>4</v>
      </c>
      <c r="X34" s="113">
        <f t="shared" si="16"/>
        <v>4</v>
      </c>
      <c r="Y34" s="113">
        <f t="shared" si="16"/>
        <v>4</v>
      </c>
      <c r="Z34" s="152">
        <f t="shared" si="16"/>
        <v>4</v>
      </c>
      <c r="AA34" s="156"/>
      <c r="AB34" s="1"/>
      <c r="AC34" s="1"/>
      <c r="AD34" s="1"/>
      <c r="AE34" s="1"/>
      <c r="AF34" s="1"/>
      <c r="AG34" s="157"/>
      <c r="AH34" s="163">
        <f t="shared" si="7"/>
        <v>-240</v>
      </c>
      <c r="AI34" s="110">
        <f t="shared" si="8"/>
        <v>-4</v>
      </c>
      <c r="AJ34" s="110">
        <f t="shared" si="9"/>
        <v>-4</v>
      </c>
      <c r="AK34" s="110">
        <f t="shared" si="10"/>
        <v>-4</v>
      </c>
      <c r="AL34" s="110">
        <f t="shared" si="11"/>
        <v>-4</v>
      </c>
      <c r="AM34" s="110">
        <f t="shared" si="12"/>
        <v>-4</v>
      </c>
      <c r="AN34" s="164">
        <f t="shared" si="13"/>
        <v>-4</v>
      </c>
    </row>
    <row r="35" spans="1:40" ht="15.75" hidden="1" thickBot="1" x14ac:dyDescent="0.25">
      <c r="A35" s="128">
        <v>51</v>
      </c>
      <c r="B35" s="147">
        <v>7</v>
      </c>
      <c r="C35" s="122" t="s">
        <v>108</v>
      </c>
      <c r="D35" s="119" t="s">
        <v>209</v>
      </c>
      <c r="E35" s="119" t="s">
        <v>236</v>
      </c>
      <c r="F35" s="119" t="s">
        <v>237</v>
      </c>
      <c r="G35" s="119" t="s">
        <v>177</v>
      </c>
      <c r="H35" s="20">
        <v>4192262</v>
      </c>
      <c r="I35" s="20" t="s">
        <v>113</v>
      </c>
      <c r="J35" s="20" t="s">
        <v>118</v>
      </c>
      <c r="K35" s="21" t="s">
        <v>122</v>
      </c>
      <c r="L35" s="112">
        <v>6</v>
      </c>
      <c r="M35" s="108">
        <f t="shared" si="0"/>
        <v>24</v>
      </c>
      <c r="N35" s="108">
        <f>L35*40</f>
        <v>240</v>
      </c>
      <c r="O35" s="108">
        <f t="shared" si="1"/>
        <v>288</v>
      </c>
      <c r="P35" s="108">
        <f t="shared" si="2"/>
        <v>48</v>
      </c>
      <c r="Q35" s="108">
        <f t="shared" si="3"/>
        <v>12</v>
      </c>
      <c r="R35" s="108">
        <f t="shared" si="4"/>
        <v>12</v>
      </c>
      <c r="S35" s="148">
        <f t="shared" si="5"/>
        <v>24</v>
      </c>
      <c r="T35" s="149">
        <v>240</v>
      </c>
      <c r="U35" s="113">
        <f t="shared" si="16"/>
        <v>4</v>
      </c>
      <c r="V35" s="113">
        <f t="shared" si="16"/>
        <v>4</v>
      </c>
      <c r="W35" s="113">
        <f t="shared" si="16"/>
        <v>4</v>
      </c>
      <c r="X35" s="113">
        <f t="shared" si="16"/>
        <v>4</v>
      </c>
      <c r="Y35" s="113">
        <f t="shared" si="16"/>
        <v>4</v>
      </c>
      <c r="Z35" s="152">
        <f t="shared" si="16"/>
        <v>4</v>
      </c>
      <c r="AA35" s="156"/>
      <c r="AB35" s="1"/>
      <c r="AC35" s="1"/>
      <c r="AD35" s="1"/>
      <c r="AE35" s="1"/>
      <c r="AF35" s="1"/>
      <c r="AG35" s="157"/>
      <c r="AH35" s="163">
        <f t="shared" si="7"/>
        <v>-240</v>
      </c>
      <c r="AI35" s="110">
        <f t="shared" si="8"/>
        <v>-4</v>
      </c>
      <c r="AJ35" s="110">
        <f t="shared" si="9"/>
        <v>-4</v>
      </c>
      <c r="AK35" s="110">
        <f t="shared" si="10"/>
        <v>-4</v>
      </c>
      <c r="AL35" s="110">
        <f t="shared" si="11"/>
        <v>-4</v>
      </c>
      <c r="AM35" s="110">
        <f t="shared" si="12"/>
        <v>-4</v>
      </c>
      <c r="AN35" s="164">
        <f t="shared" si="13"/>
        <v>-4</v>
      </c>
    </row>
    <row r="36" spans="1:40" ht="15.75" hidden="1" thickBot="1" x14ac:dyDescent="0.25">
      <c r="A36" s="128">
        <v>14</v>
      </c>
      <c r="B36" s="147"/>
      <c r="C36" s="122"/>
      <c r="D36" s="119"/>
      <c r="E36" s="119"/>
      <c r="F36" s="127" t="s">
        <v>446</v>
      </c>
      <c r="G36" s="127" t="s">
        <v>177</v>
      </c>
      <c r="H36" s="20"/>
      <c r="I36" s="20"/>
      <c r="J36" s="20"/>
      <c r="K36" s="21"/>
      <c r="L36" s="133">
        <f>40-(L34+L35)</f>
        <v>28</v>
      </c>
      <c r="M36" s="134">
        <f t="shared" ref="M36:M52" si="17">L36*4</f>
        <v>112</v>
      </c>
      <c r="N36" s="134">
        <v>0</v>
      </c>
      <c r="O36" s="134">
        <f t="shared" ref="O36:O52" si="18">L36*48</f>
        <v>1344</v>
      </c>
      <c r="P36" s="134">
        <f t="shared" ref="P36:P52" si="19">O36-N36</f>
        <v>1344</v>
      </c>
      <c r="Q36" s="134">
        <f t="shared" ref="Q36:Q52" si="20">M36/2</f>
        <v>56</v>
      </c>
      <c r="R36" s="134">
        <f t="shared" ref="R36:R52" si="21">Q36</f>
        <v>56</v>
      </c>
      <c r="S36" s="148">
        <f t="shared" ref="S36:S52" si="22">P36-(Q36+R36)</f>
        <v>1232</v>
      </c>
      <c r="T36" s="151">
        <v>0</v>
      </c>
      <c r="U36" s="113">
        <f t="shared" si="16"/>
        <v>205.33333333333334</v>
      </c>
      <c r="V36" s="113">
        <f t="shared" si="16"/>
        <v>205.33333333333334</v>
      </c>
      <c r="W36" s="113">
        <f t="shared" si="16"/>
        <v>205.33333333333334</v>
      </c>
      <c r="X36" s="113">
        <f t="shared" si="16"/>
        <v>205.33333333333334</v>
      </c>
      <c r="Y36" s="113">
        <f t="shared" si="16"/>
        <v>205.33333333333334</v>
      </c>
      <c r="Z36" s="152">
        <f t="shared" si="16"/>
        <v>205.33333333333334</v>
      </c>
      <c r="AA36" s="158"/>
      <c r="AB36" s="135"/>
      <c r="AC36" s="135"/>
      <c r="AD36" s="135"/>
      <c r="AE36" s="135"/>
      <c r="AF36" s="135"/>
      <c r="AG36" s="159"/>
      <c r="AH36" s="165">
        <f t="shared" ref="AH36:AH52" si="23">AA36-T36</f>
        <v>0</v>
      </c>
      <c r="AI36" s="136">
        <f t="shared" ref="AI36:AI52" si="24">AB36-U36</f>
        <v>-205.33333333333334</v>
      </c>
      <c r="AJ36" s="136">
        <f t="shared" ref="AJ36:AJ52" si="25">AC36-V36</f>
        <v>-205.33333333333334</v>
      </c>
      <c r="AK36" s="136">
        <f t="shared" ref="AK36:AK52" si="26">AD36-W36</f>
        <v>-205.33333333333334</v>
      </c>
      <c r="AL36" s="136">
        <f t="shared" ref="AL36:AL52" si="27">AE36-X36</f>
        <v>-205.33333333333334</v>
      </c>
      <c r="AM36" s="136">
        <f t="shared" ref="AM36:AM52" si="28">AF36-Y36</f>
        <v>-205.33333333333334</v>
      </c>
      <c r="AN36" s="166">
        <f t="shared" ref="AN36:AN52" si="29">AG36-Z36</f>
        <v>-205.33333333333334</v>
      </c>
    </row>
    <row r="37" spans="1:40" ht="15.75" hidden="1" thickBot="1" x14ac:dyDescent="0.25">
      <c r="A37" s="128">
        <v>8</v>
      </c>
      <c r="B37" s="146">
        <v>1</v>
      </c>
      <c r="C37" s="121" t="s">
        <v>116</v>
      </c>
      <c r="D37" s="119" t="s">
        <v>109</v>
      </c>
      <c r="E37" s="119" t="s">
        <v>128</v>
      </c>
      <c r="F37" s="119" t="s">
        <v>129</v>
      </c>
      <c r="G37" s="119" t="s">
        <v>131</v>
      </c>
      <c r="H37" s="20">
        <v>1933075</v>
      </c>
      <c r="I37" s="20" t="s">
        <v>113</v>
      </c>
      <c r="J37" s="20" t="s">
        <v>118</v>
      </c>
      <c r="K37" s="21" t="s">
        <v>122</v>
      </c>
      <c r="L37" s="112">
        <v>8</v>
      </c>
      <c r="M37" s="108">
        <f t="shared" si="17"/>
        <v>32</v>
      </c>
      <c r="N37" s="108">
        <f>L37*40</f>
        <v>320</v>
      </c>
      <c r="O37" s="108">
        <f t="shared" si="18"/>
        <v>384</v>
      </c>
      <c r="P37" s="108">
        <f t="shared" si="19"/>
        <v>64</v>
      </c>
      <c r="Q37" s="108">
        <f t="shared" si="20"/>
        <v>16</v>
      </c>
      <c r="R37" s="108">
        <f t="shared" si="21"/>
        <v>16</v>
      </c>
      <c r="S37" s="148">
        <f t="shared" si="22"/>
        <v>32</v>
      </c>
      <c r="T37" s="149">
        <v>240</v>
      </c>
      <c r="U37" s="113">
        <f t="shared" si="16"/>
        <v>5.333333333333333</v>
      </c>
      <c r="V37" s="113">
        <f t="shared" si="16"/>
        <v>5.333333333333333</v>
      </c>
      <c r="W37" s="113">
        <f t="shared" si="16"/>
        <v>5.333333333333333</v>
      </c>
      <c r="X37" s="113">
        <f t="shared" si="16"/>
        <v>5.333333333333333</v>
      </c>
      <c r="Y37" s="113">
        <f t="shared" si="16"/>
        <v>5.333333333333333</v>
      </c>
      <c r="Z37" s="152">
        <f t="shared" si="16"/>
        <v>5.333333333333333</v>
      </c>
      <c r="AA37" s="156"/>
      <c r="AB37" s="1"/>
      <c r="AC37" s="1"/>
      <c r="AD37" s="1"/>
      <c r="AE37" s="1"/>
      <c r="AF37" s="1"/>
      <c r="AG37" s="157"/>
      <c r="AH37" s="163">
        <f t="shared" si="23"/>
        <v>-240</v>
      </c>
      <c r="AI37" s="110">
        <f t="shared" si="24"/>
        <v>-5.333333333333333</v>
      </c>
      <c r="AJ37" s="110">
        <f t="shared" si="25"/>
        <v>-5.333333333333333</v>
      </c>
      <c r="AK37" s="110">
        <f t="shared" si="26"/>
        <v>-5.333333333333333</v>
      </c>
      <c r="AL37" s="110">
        <f t="shared" si="27"/>
        <v>-5.333333333333333</v>
      </c>
      <c r="AM37" s="110">
        <f t="shared" si="28"/>
        <v>-5.333333333333333</v>
      </c>
      <c r="AN37" s="164">
        <f t="shared" si="29"/>
        <v>-5.333333333333333</v>
      </c>
    </row>
    <row r="38" spans="1:40" ht="15.75" hidden="1" thickBot="1" x14ac:dyDescent="0.25">
      <c r="A38" s="128">
        <v>60</v>
      </c>
      <c r="B38" s="147">
        <v>8</v>
      </c>
      <c r="C38" s="122" t="s">
        <v>108</v>
      </c>
      <c r="D38" s="119" t="s">
        <v>132</v>
      </c>
      <c r="E38" s="119" t="s">
        <v>258</v>
      </c>
      <c r="F38" s="119" t="s">
        <v>259</v>
      </c>
      <c r="G38" s="119" t="s">
        <v>131</v>
      </c>
      <c r="H38" s="20">
        <v>1933075</v>
      </c>
      <c r="I38" s="20" t="s">
        <v>113</v>
      </c>
      <c r="J38" s="20" t="s">
        <v>118</v>
      </c>
      <c r="K38" s="21" t="s">
        <v>122</v>
      </c>
      <c r="L38" s="112">
        <v>4</v>
      </c>
      <c r="M38" s="108">
        <f t="shared" si="17"/>
        <v>16</v>
      </c>
      <c r="N38" s="108">
        <f>L38*40</f>
        <v>160</v>
      </c>
      <c r="O38" s="108">
        <f t="shared" si="18"/>
        <v>192</v>
      </c>
      <c r="P38" s="108">
        <f t="shared" si="19"/>
        <v>32</v>
      </c>
      <c r="Q38" s="108">
        <f t="shared" si="20"/>
        <v>8</v>
      </c>
      <c r="R38" s="108">
        <f t="shared" si="21"/>
        <v>8</v>
      </c>
      <c r="S38" s="148">
        <f t="shared" si="22"/>
        <v>16</v>
      </c>
      <c r="T38" s="149">
        <v>240</v>
      </c>
      <c r="U38" s="113">
        <f t="shared" si="16"/>
        <v>2.6666666666666665</v>
      </c>
      <c r="V38" s="113">
        <f t="shared" si="16"/>
        <v>2.6666666666666665</v>
      </c>
      <c r="W38" s="113">
        <f t="shared" si="16"/>
        <v>2.6666666666666665</v>
      </c>
      <c r="X38" s="113">
        <f t="shared" si="16"/>
        <v>2.6666666666666665</v>
      </c>
      <c r="Y38" s="113">
        <f t="shared" si="16"/>
        <v>2.6666666666666665</v>
      </c>
      <c r="Z38" s="152">
        <f t="shared" si="16"/>
        <v>2.6666666666666665</v>
      </c>
      <c r="AA38" s="156"/>
      <c r="AB38" s="1"/>
      <c r="AC38" s="1"/>
      <c r="AD38" s="1"/>
      <c r="AE38" s="1"/>
      <c r="AF38" s="1"/>
      <c r="AG38" s="157"/>
      <c r="AH38" s="163">
        <f t="shared" si="23"/>
        <v>-240</v>
      </c>
      <c r="AI38" s="110">
        <f t="shared" si="24"/>
        <v>-2.6666666666666665</v>
      </c>
      <c r="AJ38" s="110">
        <f t="shared" si="25"/>
        <v>-2.6666666666666665</v>
      </c>
      <c r="AK38" s="110">
        <f t="shared" si="26"/>
        <v>-2.6666666666666665</v>
      </c>
      <c r="AL38" s="110">
        <f t="shared" si="27"/>
        <v>-2.6666666666666665</v>
      </c>
      <c r="AM38" s="110">
        <f t="shared" si="28"/>
        <v>-2.6666666666666665</v>
      </c>
      <c r="AN38" s="164">
        <f t="shared" si="29"/>
        <v>-2.6666666666666665</v>
      </c>
    </row>
    <row r="39" spans="1:40" ht="15.75" hidden="1" thickBot="1" x14ac:dyDescent="0.25">
      <c r="A39" s="128">
        <v>15</v>
      </c>
      <c r="B39" s="147"/>
      <c r="C39" s="122"/>
      <c r="D39" s="119"/>
      <c r="E39" s="119"/>
      <c r="F39" s="127" t="s">
        <v>446</v>
      </c>
      <c r="G39" s="127" t="s">
        <v>131</v>
      </c>
      <c r="H39" s="20"/>
      <c r="I39" s="20"/>
      <c r="J39" s="20"/>
      <c r="K39" s="21"/>
      <c r="L39" s="133">
        <f>40-(L37+L38)</f>
        <v>28</v>
      </c>
      <c r="M39" s="134">
        <f t="shared" si="17"/>
        <v>112</v>
      </c>
      <c r="N39" s="134">
        <v>0</v>
      </c>
      <c r="O39" s="134">
        <f t="shared" si="18"/>
        <v>1344</v>
      </c>
      <c r="P39" s="134">
        <f t="shared" si="19"/>
        <v>1344</v>
      </c>
      <c r="Q39" s="134">
        <f t="shared" si="20"/>
        <v>56</v>
      </c>
      <c r="R39" s="134">
        <f t="shared" si="21"/>
        <v>56</v>
      </c>
      <c r="S39" s="148">
        <f t="shared" si="22"/>
        <v>1232</v>
      </c>
      <c r="T39" s="151">
        <v>0</v>
      </c>
      <c r="U39" s="113">
        <f t="shared" si="16"/>
        <v>205.33333333333334</v>
      </c>
      <c r="V39" s="113">
        <f t="shared" si="16"/>
        <v>205.33333333333334</v>
      </c>
      <c r="W39" s="113">
        <f t="shared" si="16"/>
        <v>205.33333333333334</v>
      </c>
      <c r="X39" s="113">
        <f t="shared" si="16"/>
        <v>205.33333333333334</v>
      </c>
      <c r="Y39" s="113">
        <f t="shared" si="16"/>
        <v>205.33333333333334</v>
      </c>
      <c r="Z39" s="152">
        <f t="shared" si="16"/>
        <v>205.33333333333334</v>
      </c>
      <c r="AA39" s="158"/>
      <c r="AB39" s="135"/>
      <c r="AC39" s="135"/>
      <c r="AD39" s="135"/>
      <c r="AE39" s="135"/>
      <c r="AF39" s="135"/>
      <c r="AG39" s="159"/>
      <c r="AH39" s="165">
        <f t="shared" si="23"/>
        <v>0</v>
      </c>
      <c r="AI39" s="136">
        <f t="shared" si="24"/>
        <v>-205.33333333333334</v>
      </c>
      <c r="AJ39" s="136">
        <f t="shared" si="25"/>
        <v>-205.33333333333334</v>
      </c>
      <c r="AK39" s="136">
        <f t="shared" si="26"/>
        <v>-205.33333333333334</v>
      </c>
      <c r="AL39" s="136">
        <f t="shared" si="27"/>
        <v>-205.33333333333334</v>
      </c>
      <c r="AM39" s="136">
        <f t="shared" si="28"/>
        <v>-205.33333333333334</v>
      </c>
      <c r="AN39" s="166">
        <f t="shared" si="29"/>
        <v>-205.33333333333334</v>
      </c>
    </row>
    <row r="40" spans="1:40" ht="15.75" hidden="1" thickBot="1" x14ac:dyDescent="0.25">
      <c r="A40" s="128">
        <v>53</v>
      </c>
      <c r="B40" s="147">
        <v>7</v>
      </c>
      <c r="C40" s="122" t="s">
        <v>108</v>
      </c>
      <c r="D40" s="119" t="s">
        <v>132</v>
      </c>
      <c r="E40" s="119" t="s">
        <v>241</v>
      </c>
      <c r="F40" s="119" t="s">
        <v>242</v>
      </c>
      <c r="G40" s="119" t="s">
        <v>243</v>
      </c>
      <c r="H40" s="20">
        <v>4176479</v>
      </c>
      <c r="I40" s="20" t="s">
        <v>113</v>
      </c>
      <c r="J40" s="20" t="s">
        <v>118</v>
      </c>
      <c r="K40" s="21" t="s">
        <v>122</v>
      </c>
      <c r="L40" s="112">
        <v>4</v>
      </c>
      <c r="M40" s="108">
        <f t="shared" si="17"/>
        <v>16</v>
      </c>
      <c r="N40" s="108">
        <f>L40*40</f>
        <v>160</v>
      </c>
      <c r="O40" s="108">
        <f t="shared" si="18"/>
        <v>192</v>
      </c>
      <c r="P40" s="108">
        <f t="shared" si="19"/>
        <v>32</v>
      </c>
      <c r="Q40" s="108">
        <f t="shared" si="20"/>
        <v>8</v>
      </c>
      <c r="R40" s="108">
        <f t="shared" si="21"/>
        <v>8</v>
      </c>
      <c r="S40" s="148">
        <f t="shared" si="22"/>
        <v>16</v>
      </c>
      <c r="T40" s="149">
        <v>240</v>
      </c>
      <c r="U40" s="113">
        <f t="shared" si="16"/>
        <v>2.6666666666666665</v>
      </c>
      <c r="V40" s="113">
        <f t="shared" si="16"/>
        <v>2.6666666666666665</v>
      </c>
      <c r="W40" s="113">
        <f t="shared" si="16"/>
        <v>2.6666666666666665</v>
      </c>
      <c r="X40" s="113">
        <f t="shared" si="16"/>
        <v>2.6666666666666665</v>
      </c>
      <c r="Y40" s="113">
        <f t="shared" si="16"/>
        <v>2.6666666666666665</v>
      </c>
      <c r="Z40" s="152">
        <f t="shared" si="16"/>
        <v>2.6666666666666665</v>
      </c>
      <c r="AA40" s="156"/>
      <c r="AB40" s="1"/>
      <c r="AC40" s="1"/>
      <c r="AD40" s="1"/>
      <c r="AE40" s="1"/>
      <c r="AF40" s="1"/>
      <c r="AG40" s="157"/>
      <c r="AH40" s="163">
        <f t="shared" si="23"/>
        <v>-240</v>
      </c>
      <c r="AI40" s="110">
        <f t="shared" si="24"/>
        <v>-2.6666666666666665</v>
      </c>
      <c r="AJ40" s="110">
        <f t="shared" si="25"/>
        <v>-2.6666666666666665</v>
      </c>
      <c r="AK40" s="110">
        <f t="shared" si="26"/>
        <v>-2.6666666666666665</v>
      </c>
      <c r="AL40" s="110">
        <f t="shared" si="27"/>
        <v>-2.6666666666666665</v>
      </c>
      <c r="AM40" s="110">
        <f t="shared" si="28"/>
        <v>-2.6666666666666665</v>
      </c>
      <c r="AN40" s="164">
        <f t="shared" si="29"/>
        <v>-2.6666666666666665</v>
      </c>
    </row>
    <row r="41" spans="1:40" ht="15.75" hidden="1" thickBot="1" x14ac:dyDescent="0.25">
      <c r="A41" s="128">
        <v>16</v>
      </c>
      <c r="B41" s="147"/>
      <c r="C41" s="122"/>
      <c r="D41" s="119"/>
      <c r="E41" s="119"/>
      <c r="F41" s="127" t="s">
        <v>446</v>
      </c>
      <c r="G41" s="127" t="s">
        <v>243</v>
      </c>
      <c r="H41" s="20"/>
      <c r="I41" s="20"/>
      <c r="J41" s="20"/>
      <c r="K41" s="21"/>
      <c r="L41" s="133">
        <f>40-L40</f>
        <v>36</v>
      </c>
      <c r="M41" s="134">
        <f t="shared" si="17"/>
        <v>144</v>
      </c>
      <c r="N41" s="134">
        <v>0</v>
      </c>
      <c r="O41" s="134">
        <f t="shared" si="18"/>
        <v>1728</v>
      </c>
      <c r="P41" s="134">
        <f t="shared" si="19"/>
        <v>1728</v>
      </c>
      <c r="Q41" s="134">
        <f t="shared" si="20"/>
        <v>72</v>
      </c>
      <c r="R41" s="134">
        <f t="shared" si="21"/>
        <v>72</v>
      </c>
      <c r="S41" s="148">
        <f t="shared" si="22"/>
        <v>1584</v>
      </c>
      <c r="T41" s="151">
        <v>0</v>
      </c>
      <c r="U41" s="113">
        <f t="shared" si="16"/>
        <v>264</v>
      </c>
      <c r="V41" s="113">
        <f t="shared" si="16"/>
        <v>264</v>
      </c>
      <c r="W41" s="113">
        <f t="shared" si="16"/>
        <v>264</v>
      </c>
      <c r="X41" s="113">
        <f t="shared" si="16"/>
        <v>264</v>
      </c>
      <c r="Y41" s="113">
        <f t="shared" si="16"/>
        <v>264</v>
      </c>
      <c r="Z41" s="152">
        <f t="shared" si="16"/>
        <v>264</v>
      </c>
      <c r="AA41" s="158"/>
      <c r="AB41" s="135"/>
      <c r="AC41" s="135"/>
      <c r="AD41" s="135"/>
      <c r="AE41" s="135"/>
      <c r="AF41" s="135"/>
      <c r="AG41" s="159"/>
      <c r="AH41" s="165">
        <f t="shared" si="23"/>
        <v>0</v>
      </c>
      <c r="AI41" s="136">
        <f t="shared" si="24"/>
        <v>-264</v>
      </c>
      <c r="AJ41" s="136">
        <f t="shared" si="25"/>
        <v>-264</v>
      </c>
      <c r="AK41" s="136">
        <f t="shared" si="26"/>
        <v>-264</v>
      </c>
      <c r="AL41" s="136">
        <f t="shared" si="27"/>
        <v>-264</v>
      </c>
      <c r="AM41" s="136">
        <f t="shared" si="28"/>
        <v>-264</v>
      </c>
      <c r="AN41" s="166">
        <f t="shared" si="29"/>
        <v>-264</v>
      </c>
    </row>
    <row r="42" spans="1:40" ht="15.75" hidden="1" thickBot="1" x14ac:dyDescent="0.25">
      <c r="A42" s="128">
        <v>7</v>
      </c>
      <c r="B42" s="146">
        <v>1</v>
      </c>
      <c r="C42" s="121" t="s">
        <v>108</v>
      </c>
      <c r="D42" s="119" t="s">
        <v>109</v>
      </c>
      <c r="E42" s="119" t="s">
        <v>128</v>
      </c>
      <c r="F42" s="119" t="s">
        <v>129</v>
      </c>
      <c r="G42" s="119" t="s">
        <v>130</v>
      </c>
      <c r="H42" s="20">
        <v>5645290</v>
      </c>
      <c r="I42" s="20" t="s">
        <v>113</v>
      </c>
      <c r="J42" s="20" t="s">
        <v>118</v>
      </c>
      <c r="K42" s="21" t="s">
        <v>122</v>
      </c>
      <c r="L42" s="112">
        <v>8</v>
      </c>
      <c r="M42" s="108">
        <f t="shared" si="17"/>
        <v>32</v>
      </c>
      <c r="N42" s="108">
        <f>L42*40</f>
        <v>320</v>
      </c>
      <c r="O42" s="108">
        <f t="shared" si="18"/>
        <v>384</v>
      </c>
      <c r="P42" s="108">
        <f t="shared" si="19"/>
        <v>64</v>
      </c>
      <c r="Q42" s="108">
        <f t="shared" si="20"/>
        <v>16</v>
      </c>
      <c r="R42" s="108">
        <f t="shared" si="21"/>
        <v>16</v>
      </c>
      <c r="S42" s="148">
        <f t="shared" si="22"/>
        <v>32</v>
      </c>
      <c r="T42" s="149">
        <v>240</v>
      </c>
      <c r="U42" s="113">
        <f t="shared" si="16"/>
        <v>5.333333333333333</v>
      </c>
      <c r="V42" s="113">
        <f t="shared" si="16"/>
        <v>5.333333333333333</v>
      </c>
      <c r="W42" s="113">
        <f t="shared" si="16"/>
        <v>5.333333333333333</v>
      </c>
      <c r="X42" s="113">
        <f t="shared" si="16"/>
        <v>5.333333333333333</v>
      </c>
      <c r="Y42" s="113">
        <f t="shared" si="16"/>
        <v>5.333333333333333</v>
      </c>
      <c r="Z42" s="152">
        <f t="shared" si="16"/>
        <v>5.333333333333333</v>
      </c>
      <c r="AA42" s="156"/>
      <c r="AB42" s="1"/>
      <c r="AC42" s="1"/>
      <c r="AD42" s="1"/>
      <c r="AE42" s="1"/>
      <c r="AF42" s="1"/>
      <c r="AG42" s="157"/>
      <c r="AH42" s="163">
        <f t="shared" si="23"/>
        <v>-240</v>
      </c>
      <c r="AI42" s="110">
        <f t="shared" si="24"/>
        <v>-5.333333333333333</v>
      </c>
      <c r="AJ42" s="110">
        <f t="shared" si="25"/>
        <v>-5.333333333333333</v>
      </c>
      <c r="AK42" s="110">
        <f t="shared" si="26"/>
        <v>-5.333333333333333</v>
      </c>
      <c r="AL42" s="110">
        <f t="shared" si="27"/>
        <v>-5.333333333333333</v>
      </c>
      <c r="AM42" s="110">
        <f t="shared" si="28"/>
        <v>-5.333333333333333</v>
      </c>
      <c r="AN42" s="164">
        <f t="shared" si="29"/>
        <v>-5.333333333333333</v>
      </c>
    </row>
    <row r="43" spans="1:40" ht="15.75" hidden="1" thickBot="1" x14ac:dyDescent="0.25">
      <c r="A43" s="128">
        <v>19</v>
      </c>
      <c r="B43" s="146">
        <v>2</v>
      </c>
      <c r="C43" s="121" t="s">
        <v>108</v>
      </c>
      <c r="D43" s="119" t="s">
        <v>0</v>
      </c>
      <c r="E43" s="119" t="s">
        <v>153</v>
      </c>
      <c r="F43" s="119" t="s">
        <v>154</v>
      </c>
      <c r="G43" s="119" t="s">
        <v>130</v>
      </c>
      <c r="H43" s="20">
        <v>5645290</v>
      </c>
      <c r="I43" s="20" t="s">
        <v>113</v>
      </c>
      <c r="J43" s="20" t="s">
        <v>118</v>
      </c>
      <c r="K43" s="21" t="s">
        <v>122</v>
      </c>
      <c r="L43" s="112">
        <v>6</v>
      </c>
      <c r="M43" s="108">
        <f t="shared" si="17"/>
        <v>24</v>
      </c>
      <c r="N43" s="108">
        <f>L43*40</f>
        <v>240</v>
      </c>
      <c r="O43" s="108">
        <f t="shared" si="18"/>
        <v>288</v>
      </c>
      <c r="P43" s="108">
        <f t="shared" si="19"/>
        <v>48</v>
      </c>
      <c r="Q43" s="108">
        <f t="shared" si="20"/>
        <v>12</v>
      </c>
      <c r="R43" s="108">
        <f t="shared" si="21"/>
        <v>12</v>
      </c>
      <c r="S43" s="148">
        <f t="shared" si="22"/>
        <v>24</v>
      </c>
      <c r="T43" s="149">
        <v>240</v>
      </c>
      <c r="U43" s="113">
        <f t="shared" si="16"/>
        <v>4</v>
      </c>
      <c r="V43" s="113">
        <f t="shared" si="16"/>
        <v>4</v>
      </c>
      <c r="W43" s="113">
        <f t="shared" si="16"/>
        <v>4</v>
      </c>
      <c r="X43" s="113">
        <f t="shared" si="16"/>
        <v>4</v>
      </c>
      <c r="Y43" s="113">
        <f t="shared" si="16"/>
        <v>4</v>
      </c>
      <c r="Z43" s="152">
        <f t="shared" si="16"/>
        <v>4</v>
      </c>
      <c r="AA43" s="156"/>
      <c r="AB43" s="1"/>
      <c r="AC43" s="1"/>
      <c r="AD43" s="1"/>
      <c r="AE43" s="1"/>
      <c r="AF43" s="1"/>
      <c r="AG43" s="157"/>
      <c r="AH43" s="163">
        <f t="shared" si="23"/>
        <v>-240</v>
      </c>
      <c r="AI43" s="110">
        <f t="shared" si="24"/>
        <v>-4</v>
      </c>
      <c r="AJ43" s="110">
        <f t="shared" si="25"/>
        <v>-4</v>
      </c>
      <c r="AK43" s="110">
        <f t="shared" si="26"/>
        <v>-4</v>
      </c>
      <c r="AL43" s="110">
        <f t="shared" si="27"/>
        <v>-4</v>
      </c>
      <c r="AM43" s="110">
        <f t="shared" si="28"/>
        <v>-4</v>
      </c>
      <c r="AN43" s="164">
        <f t="shared" si="29"/>
        <v>-4</v>
      </c>
    </row>
    <row r="44" spans="1:40" ht="15.75" hidden="1" thickBot="1" x14ac:dyDescent="0.25">
      <c r="A44" s="128">
        <v>17</v>
      </c>
      <c r="B44" s="146"/>
      <c r="C44" s="121"/>
      <c r="D44" s="119"/>
      <c r="E44" s="119"/>
      <c r="F44" s="127" t="s">
        <v>446</v>
      </c>
      <c r="G44" s="127" t="s">
        <v>130</v>
      </c>
      <c r="H44" s="20"/>
      <c r="I44" s="20"/>
      <c r="J44" s="20"/>
      <c r="K44" s="106"/>
      <c r="L44" s="133">
        <f>40-(L42+L43)</f>
        <v>26</v>
      </c>
      <c r="M44" s="134">
        <f t="shared" si="17"/>
        <v>104</v>
      </c>
      <c r="N44" s="134">
        <v>0</v>
      </c>
      <c r="O44" s="134">
        <f t="shared" si="18"/>
        <v>1248</v>
      </c>
      <c r="P44" s="134">
        <f t="shared" si="19"/>
        <v>1248</v>
      </c>
      <c r="Q44" s="134">
        <f t="shared" si="20"/>
        <v>52</v>
      </c>
      <c r="R44" s="134">
        <f t="shared" si="21"/>
        <v>52</v>
      </c>
      <c r="S44" s="148">
        <f t="shared" si="22"/>
        <v>1144</v>
      </c>
      <c r="T44" s="151">
        <v>0</v>
      </c>
      <c r="U44" s="113">
        <f t="shared" ref="U44:Z52" si="30">$S44/6</f>
        <v>190.66666666666666</v>
      </c>
      <c r="V44" s="113">
        <f t="shared" si="30"/>
        <v>190.66666666666666</v>
      </c>
      <c r="W44" s="113">
        <f t="shared" si="30"/>
        <v>190.66666666666666</v>
      </c>
      <c r="X44" s="113">
        <f t="shared" si="30"/>
        <v>190.66666666666666</v>
      </c>
      <c r="Y44" s="113">
        <f t="shared" si="30"/>
        <v>190.66666666666666</v>
      </c>
      <c r="Z44" s="152">
        <f t="shared" si="30"/>
        <v>190.66666666666666</v>
      </c>
      <c r="AA44" s="158"/>
      <c r="AB44" s="135"/>
      <c r="AC44" s="135"/>
      <c r="AD44" s="135"/>
      <c r="AE44" s="135"/>
      <c r="AF44" s="135"/>
      <c r="AG44" s="159"/>
      <c r="AH44" s="165">
        <f t="shared" si="23"/>
        <v>0</v>
      </c>
      <c r="AI44" s="136">
        <f t="shared" si="24"/>
        <v>-190.66666666666666</v>
      </c>
      <c r="AJ44" s="136">
        <f t="shared" si="25"/>
        <v>-190.66666666666666</v>
      </c>
      <c r="AK44" s="136">
        <f t="shared" si="26"/>
        <v>-190.66666666666666</v>
      </c>
      <c r="AL44" s="136">
        <f t="shared" si="27"/>
        <v>-190.66666666666666</v>
      </c>
      <c r="AM44" s="136">
        <f t="shared" si="28"/>
        <v>-190.66666666666666</v>
      </c>
      <c r="AN44" s="166">
        <f t="shared" si="29"/>
        <v>-190.66666666666666</v>
      </c>
    </row>
    <row r="45" spans="1:40" ht="15.75" hidden="1" thickBot="1" x14ac:dyDescent="0.25">
      <c r="A45" s="128">
        <v>42</v>
      </c>
      <c r="B45" s="147">
        <v>5</v>
      </c>
      <c r="C45" s="122" t="s">
        <v>108</v>
      </c>
      <c r="D45" s="119" t="s">
        <v>209</v>
      </c>
      <c r="E45" s="119" t="s">
        <v>203</v>
      </c>
      <c r="F45" s="119" t="s">
        <v>214</v>
      </c>
      <c r="G45" s="119" t="s">
        <v>215</v>
      </c>
      <c r="H45" s="20">
        <v>1903207</v>
      </c>
      <c r="I45" s="20" t="s">
        <v>216</v>
      </c>
      <c r="J45" s="20" t="s">
        <v>118</v>
      </c>
      <c r="K45" s="105" t="s">
        <v>213</v>
      </c>
      <c r="L45" s="112">
        <v>6</v>
      </c>
      <c r="M45" s="108">
        <f t="shared" si="17"/>
        <v>24</v>
      </c>
      <c r="N45" s="108">
        <f>L45*40</f>
        <v>240</v>
      </c>
      <c r="O45" s="108">
        <f t="shared" si="18"/>
        <v>288</v>
      </c>
      <c r="P45" s="108">
        <f t="shared" si="19"/>
        <v>48</v>
      </c>
      <c r="Q45" s="108">
        <f t="shared" si="20"/>
        <v>12</v>
      </c>
      <c r="R45" s="108">
        <f t="shared" si="21"/>
        <v>12</v>
      </c>
      <c r="S45" s="148">
        <f t="shared" si="22"/>
        <v>24</v>
      </c>
      <c r="T45" s="149">
        <v>240</v>
      </c>
      <c r="U45" s="113">
        <f t="shared" si="30"/>
        <v>4</v>
      </c>
      <c r="V45" s="113">
        <f t="shared" si="30"/>
        <v>4</v>
      </c>
      <c r="W45" s="113">
        <f t="shared" si="30"/>
        <v>4</v>
      </c>
      <c r="X45" s="113">
        <f t="shared" si="30"/>
        <v>4</v>
      </c>
      <c r="Y45" s="113">
        <f t="shared" si="30"/>
        <v>4</v>
      </c>
      <c r="Z45" s="152">
        <f t="shared" si="30"/>
        <v>4</v>
      </c>
      <c r="AA45" s="156"/>
      <c r="AB45" s="1"/>
      <c r="AC45" s="1"/>
      <c r="AD45" s="1"/>
      <c r="AE45" s="1"/>
      <c r="AF45" s="1"/>
      <c r="AG45" s="157"/>
      <c r="AH45" s="163">
        <f t="shared" si="23"/>
        <v>-240</v>
      </c>
      <c r="AI45" s="110">
        <f t="shared" si="24"/>
        <v>-4</v>
      </c>
      <c r="AJ45" s="110">
        <f t="shared" si="25"/>
        <v>-4</v>
      </c>
      <c r="AK45" s="110">
        <f t="shared" si="26"/>
        <v>-4</v>
      </c>
      <c r="AL45" s="110">
        <f t="shared" si="27"/>
        <v>-4</v>
      </c>
      <c r="AM45" s="110">
        <f t="shared" si="28"/>
        <v>-4</v>
      </c>
      <c r="AN45" s="164">
        <f t="shared" si="29"/>
        <v>-4</v>
      </c>
    </row>
    <row r="46" spans="1:40" ht="15.75" hidden="1" thickBot="1" x14ac:dyDescent="0.25">
      <c r="A46" s="128">
        <v>47</v>
      </c>
      <c r="B46" s="147">
        <v>6</v>
      </c>
      <c r="C46" s="122" t="s">
        <v>108</v>
      </c>
      <c r="D46" s="119" t="s">
        <v>209</v>
      </c>
      <c r="E46" s="119" t="s">
        <v>227</v>
      </c>
      <c r="F46" s="119" t="s">
        <v>228</v>
      </c>
      <c r="G46" s="119" t="s">
        <v>215</v>
      </c>
      <c r="H46" s="20">
        <v>1903207</v>
      </c>
      <c r="I46" s="20" t="s">
        <v>216</v>
      </c>
      <c r="J46" s="20" t="s">
        <v>118</v>
      </c>
      <c r="K46" s="105" t="s">
        <v>213</v>
      </c>
      <c r="L46" s="112">
        <v>6</v>
      </c>
      <c r="M46" s="108">
        <f t="shared" si="17"/>
        <v>24</v>
      </c>
      <c r="N46" s="108">
        <f>L46*40</f>
        <v>240</v>
      </c>
      <c r="O46" s="108">
        <f t="shared" si="18"/>
        <v>288</v>
      </c>
      <c r="P46" s="108">
        <f t="shared" si="19"/>
        <v>48</v>
      </c>
      <c r="Q46" s="108">
        <f t="shared" si="20"/>
        <v>12</v>
      </c>
      <c r="R46" s="108">
        <f t="shared" si="21"/>
        <v>12</v>
      </c>
      <c r="S46" s="148">
        <f t="shared" si="22"/>
        <v>24</v>
      </c>
      <c r="T46" s="149">
        <v>240</v>
      </c>
      <c r="U46" s="113">
        <f t="shared" si="30"/>
        <v>4</v>
      </c>
      <c r="V46" s="113">
        <f t="shared" si="30"/>
        <v>4</v>
      </c>
      <c r="W46" s="113">
        <f t="shared" si="30"/>
        <v>4</v>
      </c>
      <c r="X46" s="113">
        <f t="shared" si="30"/>
        <v>4</v>
      </c>
      <c r="Y46" s="113">
        <f t="shared" si="30"/>
        <v>4</v>
      </c>
      <c r="Z46" s="152">
        <f t="shared" si="30"/>
        <v>4</v>
      </c>
      <c r="AA46" s="156"/>
      <c r="AB46" s="1"/>
      <c r="AC46" s="1"/>
      <c r="AD46" s="1"/>
      <c r="AE46" s="1"/>
      <c r="AF46" s="1"/>
      <c r="AG46" s="157"/>
      <c r="AH46" s="163">
        <f t="shared" si="23"/>
        <v>-240</v>
      </c>
      <c r="AI46" s="110">
        <f t="shared" si="24"/>
        <v>-4</v>
      </c>
      <c r="AJ46" s="110">
        <f t="shared" si="25"/>
        <v>-4</v>
      </c>
      <c r="AK46" s="110">
        <f t="shared" si="26"/>
        <v>-4</v>
      </c>
      <c r="AL46" s="110">
        <f t="shared" si="27"/>
        <v>-4</v>
      </c>
      <c r="AM46" s="110">
        <f t="shared" si="28"/>
        <v>-4</v>
      </c>
      <c r="AN46" s="164">
        <f t="shared" si="29"/>
        <v>-4</v>
      </c>
    </row>
    <row r="47" spans="1:40" ht="15.75" hidden="1" thickBot="1" x14ac:dyDescent="0.25">
      <c r="A47" s="128">
        <v>18</v>
      </c>
      <c r="B47" s="147"/>
      <c r="C47" s="122"/>
      <c r="D47" s="119"/>
      <c r="E47" s="119"/>
      <c r="F47" s="127" t="s">
        <v>446</v>
      </c>
      <c r="G47" s="127" t="s">
        <v>215</v>
      </c>
      <c r="H47" s="20"/>
      <c r="I47" s="20"/>
      <c r="J47" s="20"/>
      <c r="K47" s="106"/>
      <c r="L47" s="133">
        <f>40-(L45+L46)</f>
        <v>28</v>
      </c>
      <c r="M47" s="134">
        <f t="shared" si="17"/>
        <v>112</v>
      </c>
      <c r="N47" s="134">
        <v>0</v>
      </c>
      <c r="O47" s="134">
        <f t="shared" si="18"/>
        <v>1344</v>
      </c>
      <c r="P47" s="134">
        <f t="shared" si="19"/>
        <v>1344</v>
      </c>
      <c r="Q47" s="134">
        <f t="shared" si="20"/>
        <v>56</v>
      </c>
      <c r="R47" s="134">
        <f t="shared" si="21"/>
        <v>56</v>
      </c>
      <c r="S47" s="148">
        <f t="shared" si="22"/>
        <v>1232</v>
      </c>
      <c r="T47" s="151">
        <v>0</v>
      </c>
      <c r="U47" s="113">
        <f t="shared" si="30"/>
        <v>205.33333333333334</v>
      </c>
      <c r="V47" s="113">
        <f t="shared" si="30"/>
        <v>205.33333333333334</v>
      </c>
      <c r="W47" s="113">
        <f t="shared" si="30"/>
        <v>205.33333333333334</v>
      </c>
      <c r="X47" s="113">
        <f t="shared" si="30"/>
        <v>205.33333333333334</v>
      </c>
      <c r="Y47" s="113">
        <f t="shared" si="30"/>
        <v>205.33333333333334</v>
      </c>
      <c r="Z47" s="152">
        <f t="shared" si="30"/>
        <v>205.33333333333334</v>
      </c>
      <c r="AA47" s="158"/>
      <c r="AB47" s="135"/>
      <c r="AC47" s="135"/>
      <c r="AD47" s="135"/>
      <c r="AE47" s="135"/>
      <c r="AF47" s="135"/>
      <c r="AG47" s="159"/>
      <c r="AH47" s="165">
        <f t="shared" si="23"/>
        <v>0</v>
      </c>
      <c r="AI47" s="136">
        <f t="shared" si="24"/>
        <v>-205.33333333333334</v>
      </c>
      <c r="AJ47" s="136">
        <f t="shared" si="25"/>
        <v>-205.33333333333334</v>
      </c>
      <c r="AK47" s="136">
        <f t="shared" si="26"/>
        <v>-205.33333333333334</v>
      </c>
      <c r="AL47" s="136">
        <f t="shared" si="27"/>
        <v>-205.33333333333334</v>
      </c>
      <c r="AM47" s="136">
        <f t="shared" si="28"/>
        <v>-205.33333333333334</v>
      </c>
      <c r="AN47" s="166">
        <f t="shared" si="29"/>
        <v>-205.33333333333334</v>
      </c>
    </row>
    <row r="48" spans="1:40" ht="15.75" hidden="1" thickBot="1" x14ac:dyDescent="0.25">
      <c r="A48" s="128">
        <v>61</v>
      </c>
      <c r="B48" s="147">
        <v>8</v>
      </c>
      <c r="C48" s="122" t="s">
        <v>108</v>
      </c>
      <c r="D48" s="119" t="s">
        <v>109</v>
      </c>
      <c r="E48" s="119" t="s">
        <v>260</v>
      </c>
      <c r="F48" s="119" t="s">
        <v>261</v>
      </c>
      <c r="G48" s="119" t="s">
        <v>262</v>
      </c>
      <c r="H48" s="20">
        <v>1736422</v>
      </c>
      <c r="I48" s="20" t="s">
        <v>113</v>
      </c>
      <c r="J48" s="20" t="s">
        <v>118</v>
      </c>
      <c r="K48" s="21" t="s">
        <v>122</v>
      </c>
      <c r="L48" s="112">
        <v>6</v>
      </c>
      <c r="M48" s="108">
        <f t="shared" si="17"/>
        <v>24</v>
      </c>
      <c r="N48" s="108">
        <f>L48*40</f>
        <v>240</v>
      </c>
      <c r="O48" s="108">
        <f t="shared" si="18"/>
        <v>288</v>
      </c>
      <c r="P48" s="108">
        <f t="shared" si="19"/>
        <v>48</v>
      </c>
      <c r="Q48" s="108">
        <f t="shared" si="20"/>
        <v>12</v>
      </c>
      <c r="R48" s="108">
        <f t="shared" si="21"/>
        <v>12</v>
      </c>
      <c r="S48" s="148">
        <f t="shared" si="22"/>
        <v>24</v>
      </c>
      <c r="T48" s="149">
        <v>240</v>
      </c>
      <c r="U48" s="113">
        <f t="shared" si="30"/>
        <v>4</v>
      </c>
      <c r="V48" s="113">
        <f t="shared" si="30"/>
        <v>4</v>
      </c>
      <c r="W48" s="113">
        <f t="shared" si="30"/>
        <v>4</v>
      </c>
      <c r="X48" s="113">
        <f t="shared" si="30"/>
        <v>4</v>
      </c>
      <c r="Y48" s="113">
        <f t="shared" si="30"/>
        <v>4</v>
      </c>
      <c r="Z48" s="152">
        <f t="shared" si="30"/>
        <v>4</v>
      </c>
      <c r="AA48" s="156"/>
      <c r="AB48" s="1"/>
      <c r="AC48" s="1"/>
      <c r="AD48" s="1"/>
      <c r="AE48" s="1"/>
      <c r="AF48" s="1"/>
      <c r="AG48" s="157"/>
      <c r="AH48" s="163">
        <f t="shared" si="23"/>
        <v>-240</v>
      </c>
      <c r="AI48" s="110">
        <f t="shared" si="24"/>
        <v>-4</v>
      </c>
      <c r="AJ48" s="110">
        <f t="shared" si="25"/>
        <v>-4</v>
      </c>
      <c r="AK48" s="110">
        <f t="shared" si="26"/>
        <v>-4</v>
      </c>
      <c r="AL48" s="110">
        <f t="shared" si="27"/>
        <v>-4</v>
      </c>
      <c r="AM48" s="110">
        <f t="shared" si="28"/>
        <v>-4</v>
      </c>
      <c r="AN48" s="164">
        <f t="shared" si="29"/>
        <v>-4</v>
      </c>
    </row>
    <row r="49" spans="1:40" ht="15.75" hidden="1" thickBot="1" x14ac:dyDescent="0.25">
      <c r="A49" s="128">
        <v>19</v>
      </c>
      <c r="B49" s="147"/>
      <c r="C49" s="122"/>
      <c r="D49" s="119"/>
      <c r="E49" s="119"/>
      <c r="F49" s="127" t="s">
        <v>446</v>
      </c>
      <c r="G49" s="127" t="s">
        <v>262</v>
      </c>
      <c r="H49" s="20"/>
      <c r="I49" s="20"/>
      <c r="J49" s="20"/>
      <c r="K49" s="106"/>
      <c r="L49" s="133">
        <f>40-L48</f>
        <v>34</v>
      </c>
      <c r="M49" s="134">
        <f t="shared" si="17"/>
        <v>136</v>
      </c>
      <c r="N49" s="134">
        <v>0</v>
      </c>
      <c r="O49" s="134">
        <f t="shared" si="18"/>
        <v>1632</v>
      </c>
      <c r="P49" s="134">
        <f t="shared" si="19"/>
        <v>1632</v>
      </c>
      <c r="Q49" s="134">
        <f t="shared" si="20"/>
        <v>68</v>
      </c>
      <c r="R49" s="134">
        <f t="shared" si="21"/>
        <v>68</v>
      </c>
      <c r="S49" s="148">
        <f t="shared" si="22"/>
        <v>1496</v>
      </c>
      <c r="T49" s="151">
        <v>0</v>
      </c>
      <c r="U49" s="113">
        <f t="shared" si="30"/>
        <v>249.33333333333334</v>
      </c>
      <c r="V49" s="113">
        <f t="shared" si="30"/>
        <v>249.33333333333334</v>
      </c>
      <c r="W49" s="113">
        <f t="shared" si="30"/>
        <v>249.33333333333334</v>
      </c>
      <c r="X49" s="113">
        <f t="shared" si="30"/>
        <v>249.33333333333334</v>
      </c>
      <c r="Y49" s="113">
        <f t="shared" si="30"/>
        <v>249.33333333333334</v>
      </c>
      <c r="Z49" s="152">
        <f t="shared" si="30"/>
        <v>249.33333333333334</v>
      </c>
      <c r="AA49" s="158"/>
      <c r="AB49" s="135"/>
      <c r="AC49" s="135"/>
      <c r="AD49" s="135"/>
      <c r="AE49" s="135"/>
      <c r="AF49" s="135"/>
      <c r="AG49" s="159"/>
      <c r="AH49" s="165">
        <f t="shared" si="23"/>
        <v>0</v>
      </c>
      <c r="AI49" s="136">
        <f t="shared" si="24"/>
        <v>-249.33333333333334</v>
      </c>
      <c r="AJ49" s="136">
        <f t="shared" si="25"/>
        <v>-249.33333333333334</v>
      </c>
      <c r="AK49" s="136">
        <f t="shared" si="26"/>
        <v>-249.33333333333334</v>
      </c>
      <c r="AL49" s="136">
        <f t="shared" si="27"/>
        <v>-249.33333333333334</v>
      </c>
      <c r="AM49" s="136">
        <f t="shared" si="28"/>
        <v>-249.33333333333334</v>
      </c>
      <c r="AN49" s="166">
        <f t="shared" si="29"/>
        <v>-249.33333333333334</v>
      </c>
    </row>
    <row r="50" spans="1:40" ht="15.75" hidden="1" thickBot="1" x14ac:dyDescent="0.25">
      <c r="A50" s="128">
        <v>5</v>
      </c>
      <c r="B50" s="146">
        <v>1</v>
      </c>
      <c r="C50" s="121" t="s">
        <v>108</v>
      </c>
      <c r="D50" s="119" t="s">
        <v>109</v>
      </c>
      <c r="E50" s="119" t="s">
        <v>125</v>
      </c>
      <c r="F50" s="119" t="s">
        <v>126</v>
      </c>
      <c r="G50" s="119" t="s">
        <v>127</v>
      </c>
      <c r="H50" s="20">
        <v>4176636</v>
      </c>
      <c r="I50" s="20" t="s">
        <v>113</v>
      </c>
      <c r="J50" s="20" t="s">
        <v>118</v>
      </c>
      <c r="K50" s="105" t="s">
        <v>122</v>
      </c>
      <c r="L50" s="112">
        <v>6</v>
      </c>
      <c r="M50" s="108">
        <f t="shared" si="17"/>
        <v>24</v>
      </c>
      <c r="N50" s="108">
        <f>L50*40</f>
        <v>240</v>
      </c>
      <c r="O50" s="108">
        <f t="shared" si="18"/>
        <v>288</v>
      </c>
      <c r="P50" s="108">
        <f t="shared" si="19"/>
        <v>48</v>
      </c>
      <c r="Q50" s="108">
        <f t="shared" si="20"/>
        <v>12</v>
      </c>
      <c r="R50" s="108">
        <f t="shared" si="21"/>
        <v>12</v>
      </c>
      <c r="S50" s="148">
        <f t="shared" si="22"/>
        <v>24</v>
      </c>
      <c r="T50" s="149">
        <v>240</v>
      </c>
      <c r="U50" s="113">
        <f t="shared" si="30"/>
        <v>4</v>
      </c>
      <c r="V50" s="113">
        <f t="shared" si="30"/>
        <v>4</v>
      </c>
      <c r="W50" s="113">
        <f t="shared" si="30"/>
        <v>4</v>
      </c>
      <c r="X50" s="113">
        <f t="shared" si="30"/>
        <v>4</v>
      </c>
      <c r="Y50" s="113">
        <f t="shared" si="30"/>
        <v>4</v>
      </c>
      <c r="Z50" s="152">
        <f t="shared" si="30"/>
        <v>4</v>
      </c>
      <c r="AA50" s="156"/>
      <c r="AB50" s="1"/>
      <c r="AC50" s="1"/>
      <c r="AD50" s="1"/>
      <c r="AE50" s="1"/>
      <c r="AF50" s="1"/>
      <c r="AG50" s="157"/>
      <c r="AH50" s="163">
        <f t="shared" si="23"/>
        <v>-240</v>
      </c>
      <c r="AI50" s="110">
        <f t="shared" si="24"/>
        <v>-4</v>
      </c>
      <c r="AJ50" s="110">
        <f t="shared" si="25"/>
        <v>-4</v>
      </c>
      <c r="AK50" s="110">
        <f t="shared" si="26"/>
        <v>-4</v>
      </c>
      <c r="AL50" s="110">
        <f t="shared" si="27"/>
        <v>-4</v>
      </c>
      <c r="AM50" s="110">
        <f t="shared" si="28"/>
        <v>-4</v>
      </c>
      <c r="AN50" s="164">
        <f t="shared" si="29"/>
        <v>-4</v>
      </c>
    </row>
    <row r="51" spans="1:40" ht="15.75" hidden="1" thickBot="1" x14ac:dyDescent="0.25">
      <c r="A51" s="128">
        <v>6</v>
      </c>
      <c r="B51" s="146">
        <v>1</v>
      </c>
      <c r="C51" s="121" t="s">
        <v>116</v>
      </c>
      <c r="D51" s="119" t="s">
        <v>109</v>
      </c>
      <c r="E51" s="119" t="s">
        <v>125</v>
      </c>
      <c r="F51" s="119" t="s">
        <v>126</v>
      </c>
      <c r="G51" s="126" t="s">
        <v>127</v>
      </c>
      <c r="H51" s="20">
        <v>4176636</v>
      </c>
      <c r="I51" s="20" t="s">
        <v>113</v>
      </c>
      <c r="J51" s="20" t="s">
        <v>118</v>
      </c>
      <c r="K51" s="21" t="s">
        <v>122</v>
      </c>
      <c r="L51" s="112">
        <v>6</v>
      </c>
      <c r="M51" s="108">
        <f t="shared" si="17"/>
        <v>24</v>
      </c>
      <c r="N51" s="108">
        <f>L51*40</f>
        <v>240</v>
      </c>
      <c r="O51" s="108">
        <f t="shared" si="18"/>
        <v>288</v>
      </c>
      <c r="P51" s="108">
        <f t="shared" si="19"/>
        <v>48</v>
      </c>
      <c r="Q51" s="108">
        <f t="shared" si="20"/>
        <v>12</v>
      </c>
      <c r="R51" s="108">
        <f t="shared" si="21"/>
        <v>12</v>
      </c>
      <c r="S51" s="148">
        <f t="shared" si="22"/>
        <v>24</v>
      </c>
      <c r="T51" s="149">
        <v>240</v>
      </c>
      <c r="U51" s="113">
        <f t="shared" si="30"/>
        <v>4</v>
      </c>
      <c r="V51" s="113">
        <f t="shared" si="30"/>
        <v>4</v>
      </c>
      <c r="W51" s="113">
        <f t="shared" si="30"/>
        <v>4</v>
      </c>
      <c r="X51" s="113">
        <f t="shared" si="30"/>
        <v>4</v>
      </c>
      <c r="Y51" s="113">
        <f t="shared" si="30"/>
        <v>4</v>
      </c>
      <c r="Z51" s="152">
        <f t="shared" si="30"/>
        <v>4</v>
      </c>
      <c r="AA51" s="156"/>
      <c r="AB51" s="1"/>
      <c r="AC51" s="1"/>
      <c r="AD51" s="1"/>
      <c r="AE51" s="1"/>
      <c r="AF51" s="1"/>
      <c r="AG51" s="157"/>
      <c r="AH51" s="163">
        <f t="shared" si="23"/>
        <v>-240</v>
      </c>
      <c r="AI51" s="110">
        <f t="shared" si="24"/>
        <v>-4</v>
      </c>
      <c r="AJ51" s="110">
        <f t="shared" si="25"/>
        <v>-4</v>
      </c>
      <c r="AK51" s="110">
        <f t="shared" si="26"/>
        <v>-4</v>
      </c>
      <c r="AL51" s="110">
        <f t="shared" si="27"/>
        <v>-4</v>
      </c>
      <c r="AM51" s="110">
        <f t="shared" si="28"/>
        <v>-4</v>
      </c>
      <c r="AN51" s="164">
        <f t="shared" si="29"/>
        <v>-4</v>
      </c>
    </row>
    <row r="52" spans="1:40" ht="15.75" hidden="1" thickBot="1" x14ac:dyDescent="0.25">
      <c r="A52" s="128">
        <v>20</v>
      </c>
      <c r="B52" s="124"/>
      <c r="C52" s="125"/>
      <c r="D52" s="106"/>
      <c r="E52" s="106"/>
      <c r="F52" s="127" t="s">
        <v>446</v>
      </c>
      <c r="G52" s="127" t="s">
        <v>127</v>
      </c>
      <c r="H52" s="106"/>
      <c r="I52" s="106"/>
      <c r="J52" s="106"/>
      <c r="K52" s="106"/>
      <c r="L52" s="133">
        <f>40-(L50+L51)</f>
        <v>28</v>
      </c>
      <c r="M52" s="134">
        <f t="shared" si="17"/>
        <v>112</v>
      </c>
      <c r="N52" s="134">
        <v>0</v>
      </c>
      <c r="O52" s="134">
        <f t="shared" si="18"/>
        <v>1344</v>
      </c>
      <c r="P52" s="134">
        <f t="shared" si="19"/>
        <v>1344</v>
      </c>
      <c r="Q52" s="134">
        <f t="shared" si="20"/>
        <v>56</v>
      </c>
      <c r="R52" s="134">
        <f t="shared" si="21"/>
        <v>56</v>
      </c>
      <c r="S52" s="148">
        <f t="shared" si="22"/>
        <v>1232</v>
      </c>
      <c r="T52" s="153">
        <v>0</v>
      </c>
      <c r="U52" s="154">
        <f t="shared" si="30"/>
        <v>205.33333333333334</v>
      </c>
      <c r="V52" s="154">
        <f t="shared" si="30"/>
        <v>205.33333333333334</v>
      </c>
      <c r="W52" s="154">
        <f t="shared" si="30"/>
        <v>205.33333333333334</v>
      </c>
      <c r="X52" s="154">
        <f t="shared" si="30"/>
        <v>205.33333333333334</v>
      </c>
      <c r="Y52" s="154">
        <f t="shared" si="30"/>
        <v>205.33333333333334</v>
      </c>
      <c r="Z52" s="155">
        <f t="shared" si="30"/>
        <v>205.33333333333334</v>
      </c>
      <c r="AA52" s="160"/>
      <c r="AB52" s="161"/>
      <c r="AC52" s="161"/>
      <c r="AD52" s="161"/>
      <c r="AE52" s="161"/>
      <c r="AF52" s="161"/>
      <c r="AG52" s="162"/>
      <c r="AH52" s="167">
        <f t="shared" si="23"/>
        <v>0</v>
      </c>
      <c r="AI52" s="168">
        <f t="shared" si="24"/>
        <v>-205.33333333333334</v>
      </c>
      <c r="AJ52" s="168">
        <f t="shared" si="25"/>
        <v>-205.33333333333334</v>
      </c>
      <c r="AK52" s="168">
        <f t="shared" si="26"/>
        <v>-205.33333333333334</v>
      </c>
      <c r="AL52" s="168">
        <f t="shared" si="27"/>
        <v>-205.33333333333334</v>
      </c>
      <c r="AM52" s="168">
        <f t="shared" si="28"/>
        <v>-205.33333333333334</v>
      </c>
      <c r="AN52" s="169">
        <f t="shared" si="29"/>
        <v>-205.33333333333334</v>
      </c>
    </row>
  </sheetData>
  <sortState xmlns:xlrd2="http://schemas.microsoft.com/office/spreadsheetml/2017/richdata2" ref="A8:AN36">
    <sortCondition ref="G8:G36"/>
  </sortState>
  <mergeCells count="7">
    <mergeCell ref="AA2:AG2"/>
    <mergeCell ref="AH2:AN2"/>
    <mergeCell ref="P2:P3"/>
    <mergeCell ref="Q2:Q3"/>
    <mergeCell ref="R2:R3"/>
    <mergeCell ref="S2:S3"/>
    <mergeCell ref="T2:Z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3"/>
  <sheetViews>
    <sheetView workbookViewId="0">
      <selection activeCell="F4" sqref="F4"/>
    </sheetView>
  </sheetViews>
  <sheetFormatPr defaultColWidth="10.76171875" defaultRowHeight="15" x14ac:dyDescent="0.2"/>
  <cols>
    <col min="1" max="1" width="14.796875" customWidth="1"/>
    <col min="2" max="2" width="39.4140625" customWidth="1"/>
    <col min="3" max="3" width="26.90234375" customWidth="1"/>
    <col min="4" max="4" width="34.03125" customWidth="1"/>
  </cols>
  <sheetData>
    <row r="1" spans="1:6" ht="24.75" customHeight="1" x14ac:dyDescent="0.2">
      <c r="A1" s="8" t="s">
        <v>460</v>
      </c>
      <c r="C1" t="s">
        <v>458</v>
      </c>
    </row>
    <row r="2" spans="1:6" ht="24.75" customHeight="1" thickBot="1" x14ac:dyDescent="0.25">
      <c r="A2" s="25" t="s">
        <v>454</v>
      </c>
      <c r="C2" t="s">
        <v>461</v>
      </c>
    </row>
    <row r="3" spans="1:6" ht="24.75" customHeight="1" thickBot="1" x14ac:dyDescent="0.25">
      <c r="A3" s="195" t="s">
        <v>17</v>
      </c>
      <c r="B3" s="174" t="s">
        <v>18</v>
      </c>
      <c r="C3" s="174" t="s">
        <v>19</v>
      </c>
      <c r="D3" s="175" t="s">
        <v>20</v>
      </c>
      <c r="E3" s="195" t="s">
        <v>450</v>
      </c>
      <c r="F3" s="195" t="s">
        <v>453</v>
      </c>
    </row>
    <row r="4" spans="1:6" ht="24.75" customHeight="1" x14ac:dyDescent="0.2">
      <c r="A4" s="215" t="s">
        <v>21</v>
      </c>
      <c r="B4" s="191" t="s">
        <v>67</v>
      </c>
      <c r="C4" s="186" t="s">
        <v>22</v>
      </c>
      <c r="D4" s="196" t="s">
        <v>23</v>
      </c>
      <c r="E4" s="187"/>
      <c r="F4" s="197">
        <v>44935</v>
      </c>
    </row>
    <row r="5" spans="1:6" ht="24.75" customHeight="1" x14ac:dyDescent="0.2">
      <c r="A5" s="216"/>
      <c r="B5" s="170" t="s">
        <v>68</v>
      </c>
      <c r="C5" s="171" t="s">
        <v>24</v>
      </c>
      <c r="D5" s="176" t="s">
        <v>25</v>
      </c>
      <c r="E5" s="179"/>
      <c r="F5" s="179"/>
    </row>
    <row r="6" spans="1:6" ht="24.75" customHeight="1" x14ac:dyDescent="0.2">
      <c r="A6" s="216"/>
      <c r="B6" s="170" t="s">
        <v>69</v>
      </c>
      <c r="C6" s="171" t="s">
        <v>26</v>
      </c>
      <c r="D6" s="176" t="s">
        <v>27</v>
      </c>
      <c r="E6" s="179"/>
      <c r="F6" s="179"/>
    </row>
    <row r="7" spans="1:6" ht="24.75" customHeight="1" x14ac:dyDescent="0.2">
      <c r="A7" s="216"/>
      <c r="B7" s="170" t="s">
        <v>70</v>
      </c>
      <c r="C7" s="171" t="s">
        <v>28</v>
      </c>
      <c r="D7" s="177"/>
      <c r="E7" s="179"/>
      <c r="F7" s="179"/>
    </row>
    <row r="8" spans="1:6" ht="24.75" customHeight="1" x14ac:dyDescent="0.2">
      <c r="A8" s="216"/>
      <c r="B8" s="170" t="s">
        <v>71</v>
      </c>
      <c r="C8" s="171" t="s">
        <v>29</v>
      </c>
      <c r="D8" s="177"/>
      <c r="E8" s="179"/>
      <c r="F8" s="179"/>
    </row>
    <row r="9" spans="1:6" ht="24.75" customHeight="1" x14ac:dyDescent="0.2">
      <c r="A9" s="216"/>
      <c r="B9" s="170" t="s">
        <v>72</v>
      </c>
      <c r="C9" s="172"/>
      <c r="D9" s="177"/>
      <c r="E9" s="179"/>
      <c r="F9" s="179"/>
    </row>
    <row r="10" spans="1:6" ht="24.75" customHeight="1" x14ac:dyDescent="0.2">
      <c r="A10" s="216"/>
      <c r="B10" s="170" t="s">
        <v>73</v>
      </c>
      <c r="C10" s="172"/>
      <c r="D10" s="177"/>
      <c r="E10" s="179"/>
      <c r="F10" s="179"/>
    </row>
    <row r="11" spans="1:6" ht="24.75" customHeight="1" thickBot="1" x14ac:dyDescent="0.25">
      <c r="A11" s="217"/>
      <c r="B11" s="192" t="s">
        <v>74</v>
      </c>
      <c r="C11" s="193"/>
      <c r="D11" s="198"/>
      <c r="E11" s="180"/>
      <c r="F11" s="180"/>
    </row>
    <row r="12" spans="1:6" ht="24.75" customHeight="1" x14ac:dyDescent="0.2">
      <c r="A12" s="215" t="s">
        <v>30</v>
      </c>
      <c r="B12" s="191" t="s">
        <v>75</v>
      </c>
      <c r="C12" s="186" t="s">
        <v>31</v>
      </c>
      <c r="D12" s="181" t="s">
        <v>32</v>
      </c>
      <c r="E12" s="187"/>
      <c r="F12" s="187"/>
    </row>
    <row r="13" spans="1:6" ht="24.75" customHeight="1" x14ac:dyDescent="0.2">
      <c r="A13" s="216"/>
      <c r="B13" s="170" t="s">
        <v>76</v>
      </c>
      <c r="C13" s="171" t="s">
        <v>33</v>
      </c>
      <c r="D13" s="182" t="s">
        <v>34</v>
      </c>
      <c r="E13" s="179">
        <v>150</v>
      </c>
      <c r="F13" s="179"/>
    </row>
    <row r="14" spans="1:6" ht="24.75" customHeight="1" x14ac:dyDescent="0.2">
      <c r="A14" s="216"/>
      <c r="B14" s="170" t="s">
        <v>77</v>
      </c>
      <c r="C14" s="171" t="s">
        <v>35</v>
      </c>
      <c r="D14" s="182" t="s">
        <v>36</v>
      </c>
      <c r="E14" s="179">
        <v>40</v>
      </c>
      <c r="F14" s="179"/>
    </row>
    <row r="15" spans="1:6" ht="24.75" customHeight="1" x14ac:dyDescent="0.2">
      <c r="A15" s="216"/>
      <c r="B15" s="170" t="s">
        <v>78</v>
      </c>
      <c r="C15" s="171" t="s">
        <v>37</v>
      </c>
      <c r="D15" s="182" t="s">
        <v>38</v>
      </c>
      <c r="E15" s="179">
        <v>80</v>
      </c>
      <c r="F15" s="179"/>
    </row>
    <row r="16" spans="1:6" ht="24.75" customHeight="1" x14ac:dyDescent="0.2">
      <c r="A16" s="216"/>
      <c r="B16" s="170" t="s">
        <v>79</v>
      </c>
      <c r="C16" s="171" t="s">
        <v>39</v>
      </c>
      <c r="D16" s="178"/>
      <c r="E16" s="179">
        <v>40</v>
      </c>
      <c r="F16" s="179"/>
    </row>
    <row r="17" spans="1:6" ht="24.75" customHeight="1" x14ac:dyDescent="0.2">
      <c r="A17" s="216"/>
      <c r="B17" s="170" t="s">
        <v>80</v>
      </c>
      <c r="C17" s="172"/>
      <c r="D17" s="178"/>
      <c r="E17" s="179">
        <v>40</v>
      </c>
      <c r="F17" s="179"/>
    </row>
    <row r="18" spans="1:6" ht="24.75" customHeight="1" thickBot="1" x14ac:dyDescent="0.25">
      <c r="A18" s="217"/>
      <c r="B18" s="188"/>
      <c r="C18" s="193"/>
      <c r="D18" s="194"/>
      <c r="E18" s="180"/>
      <c r="F18" s="180"/>
    </row>
    <row r="19" spans="1:6" ht="24.75" customHeight="1" x14ac:dyDescent="0.2">
      <c r="A19" s="218" t="s">
        <v>40</v>
      </c>
      <c r="B19" s="191" t="s">
        <v>81</v>
      </c>
      <c r="C19" s="186" t="s">
        <v>41</v>
      </c>
      <c r="D19" s="218" t="s">
        <v>42</v>
      </c>
      <c r="E19" s="187">
        <v>40</v>
      </c>
      <c r="F19" s="187"/>
    </row>
    <row r="20" spans="1:6" ht="24.75" customHeight="1" x14ac:dyDescent="0.2">
      <c r="A20" s="219"/>
      <c r="B20" s="170" t="s">
        <v>82</v>
      </c>
      <c r="C20" s="171" t="s">
        <v>31</v>
      </c>
      <c r="D20" s="219"/>
      <c r="E20" s="179">
        <v>60</v>
      </c>
      <c r="F20" s="179"/>
    </row>
    <row r="21" spans="1:6" ht="24.75" customHeight="1" x14ac:dyDescent="0.2">
      <c r="A21" s="219"/>
      <c r="B21" s="170" t="s">
        <v>83</v>
      </c>
      <c r="C21" s="171" t="s">
        <v>24</v>
      </c>
      <c r="D21" s="219"/>
      <c r="E21" s="179">
        <v>60</v>
      </c>
      <c r="F21" s="179"/>
    </row>
    <row r="22" spans="1:6" ht="24.75" customHeight="1" x14ac:dyDescent="0.2">
      <c r="A22" s="219"/>
      <c r="B22" s="170" t="s">
        <v>84</v>
      </c>
      <c r="C22" s="171" t="s">
        <v>43</v>
      </c>
      <c r="D22" s="219"/>
      <c r="E22" s="179">
        <v>20</v>
      </c>
      <c r="F22" s="179"/>
    </row>
    <row r="23" spans="1:6" ht="24.75" customHeight="1" x14ac:dyDescent="0.2">
      <c r="A23" s="219"/>
      <c r="B23" s="170" t="s">
        <v>85</v>
      </c>
      <c r="C23" s="171" t="s">
        <v>44</v>
      </c>
      <c r="D23" s="219"/>
      <c r="E23" s="179"/>
      <c r="F23" s="179"/>
    </row>
    <row r="24" spans="1:6" ht="24.75" customHeight="1" x14ac:dyDescent="0.2">
      <c r="A24" s="219"/>
      <c r="B24" s="170" t="s">
        <v>86</v>
      </c>
      <c r="C24" s="172"/>
      <c r="D24" s="219"/>
      <c r="E24" s="179">
        <v>60</v>
      </c>
      <c r="F24" s="179"/>
    </row>
    <row r="25" spans="1:6" ht="24.75" customHeight="1" x14ac:dyDescent="0.2">
      <c r="A25" s="219"/>
      <c r="B25" s="170" t="s">
        <v>87</v>
      </c>
      <c r="C25" s="172"/>
      <c r="D25" s="219"/>
      <c r="E25" s="179"/>
      <c r="F25" s="179"/>
    </row>
    <row r="26" spans="1:6" ht="24.75" customHeight="1" thickBot="1" x14ac:dyDescent="0.25">
      <c r="A26" s="220"/>
      <c r="B26" s="188"/>
      <c r="C26" s="193"/>
      <c r="D26" s="220"/>
      <c r="E26" s="180"/>
      <c r="F26" s="180"/>
    </row>
    <row r="27" spans="1:6" ht="36.75" customHeight="1" x14ac:dyDescent="0.2">
      <c r="A27" s="215" t="s">
        <v>45</v>
      </c>
      <c r="B27" s="191" t="s">
        <v>88</v>
      </c>
      <c r="C27" s="186" t="s">
        <v>46</v>
      </c>
      <c r="D27" s="218" t="s">
        <v>47</v>
      </c>
      <c r="E27" s="187">
        <v>20</v>
      </c>
      <c r="F27" s="187"/>
    </row>
    <row r="28" spans="1:6" ht="32.25" customHeight="1" x14ac:dyDescent="0.2">
      <c r="A28" s="216"/>
      <c r="B28" s="170" t="s">
        <v>89</v>
      </c>
      <c r="C28" s="171" t="s">
        <v>22</v>
      </c>
      <c r="D28" s="219"/>
      <c r="E28" s="179">
        <v>40</v>
      </c>
      <c r="F28" s="179"/>
    </row>
    <row r="29" spans="1:6" ht="31.5" customHeight="1" x14ac:dyDescent="0.2">
      <c r="A29" s="216"/>
      <c r="B29" s="170" t="s">
        <v>90</v>
      </c>
      <c r="C29" s="171" t="s">
        <v>48</v>
      </c>
      <c r="D29" s="219"/>
      <c r="E29" s="179">
        <v>60</v>
      </c>
      <c r="F29" s="179"/>
    </row>
    <row r="30" spans="1:6" ht="41.25" customHeight="1" x14ac:dyDescent="0.2">
      <c r="A30" s="216"/>
      <c r="B30" s="170" t="s">
        <v>91</v>
      </c>
      <c r="C30" s="171" t="s">
        <v>49</v>
      </c>
      <c r="D30" s="219"/>
      <c r="E30" s="179">
        <v>10</v>
      </c>
      <c r="F30" s="179"/>
    </row>
    <row r="31" spans="1:6" ht="24.75" customHeight="1" x14ac:dyDescent="0.2">
      <c r="A31" s="216"/>
      <c r="B31" s="170" t="s">
        <v>92</v>
      </c>
      <c r="C31" s="171" t="s">
        <v>50</v>
      </c>
      <c r="D31" s="219"/>
      <c r="E31" s="179">
        <v>10</v>
      </c>
      <c r="F31" s="179"/>
    </row>
    <row r="32" spans="1:6" ht="24.75" customHeight="1" x14ac:dyDescent="0.2">
      <c r="A32" s="216"/>
      <c r="B32" s="170" t="s">
        <v>93</v>
      </c>
      <c r="C32" s="171"/>
      <c r="D32" s="219"/>
      <c r="E32" s="179">
        <v>10</v>
      </c>
      <c r="F32" s="179"/>
    </row>
    <row r="33" spans="1:6" ht="24.75" customHeight="1" thickBot="1" x14ac:dyDescent="0.25">
      <c r="A33" s="217"/>
      <c r="B33" s="192" t="s">
        <v>94</v>
      </c>
      <c r="C33" s="193"/>
      <c r="D33" s="220"/>
      <c r="E33" s="180">
        <v>10</v>
      </c>
      <c r="F33" s="180"/>
    </row>
    <row r="34" spans="1:6" ht="24.75" customHeight="1" x14ac:dyDescent="0.2">
      <c r="A34" s="215" t="s">
        <v>51</v>
      </c>
      <c r="B34" s="221" t="s">
        <v>95</v>
      </c>
      <c r="C34" s="186" t="s">
        <v>52</v>
      </c>
      <c r="D34" s="218" t="s">
        <v>53</v>
      </c>
      <c r="E34" s="187">
        <v>38</v>
      </c>
      <c r="F34" s="187"/>
    </row>
    <row r="35" spans="1:6" ht="24.75" customHeight="1" x14ac:dyDescent="0.2">
      <c r="A35" s="216"/>
      <c r="B35" s="222"/>
      <c r="C35" s="171" t="s">
        <v>24</v>
      </c>
      <c r="D35" s="219"/>
      <c r="E35" s="179">
        <v>40</v>
      </c>
      <c r="F35" s="179"/>
    </row>
    <row r="36" spans="1:6" ht="24.75" customHeight="1" x14ac:dyDescent="0.2">
      <c r="A36" s="216"/>
      <c r="B36" s="222"/>
      <c r="C36" s="171" t="s">
        <v>49</v>
      </c>
      <c r="D36" s="219"/>
      <c r="E36" s="179">
        <v>50</v>
      </c>
      <c r="F36" s="179"/>
    </row>
    <row r="37" spans="1:6" ht="24.75" customHeight="1" thickBot="1" x14ac:dyDescent="0.25">
      <c r="A37" s="217"/>
      <c r="B37" s="223"/>
      <c r="C37" s="189" t="s">
        <v>29</v>
      </c>
      <c r="D37" s="220"/>
      <c r="E37" s="180">
        <v>100</v>
      </c>
      <c r="F37" s="180"/>
    </row>
    <row r="38" spans="1:6" ht="24.75" customHeight="1" x14ac:dyDescent="0.2">
      <c r="A38" s="215" t="s">
        <v>54</v>
      </c>
      <c r="B38" s="185" t="s">
        <v>55</v>
      </c>
      <c r="C38" s="186" t="s">
        <v>29</v>
      </c>
      <c r="D38" s="218" t="s">
        <v>56</v>
      </c>
      <c r="E38" s="187">
        <v>48</v>
      </c>
      <c r="F38" s="187"/>
    </row>
    <row r="39" spans="1:6" ht="24.75" customHeight="1" x14ac:dyDescent="0.2">
      <c r="A39" s="216"/>
      <c r="B39" s="183" t="s">
        <v>57</v>
      </c>
      <c r="C39" s="171" t="s">
        <v>52</v>
      </c>
      <c r="D39" s="219"/>
      <c r="E39" s="179">
        <v>60</v>
      </c>
      <c r="F39" s="179"/>
    </row>
    <row r="40" spans="1:6" ht="24.75" customHeight="1" x14ac:dyDescent="0.2">
      <c r="A40" s="216"/>
      <c r="B40" s="183" t="s">
        <v>58</v>
      </c>
      <c r="C40" s="171" t="s">
        <v>24</v>
      </c>
      <c r="D40" s="219"/>
      <c r="E40" s="179">
        <v>60</v>
      </c>
      <c r="F40" s="179"/>
    </row>
    <row r="41" spans="1:6" ht="24.75" customHeight="1" x14ac:dyDescent="0.2">
      <c r="A41" s="216"/>
      <c r="B41" s="183" t="s">
        <v>59</v>
      </c>
      <c r="C41" s="171" t="s">
        <v>49</v>
      </c>
      <c r="D41" s="219"/>
      <c r="E41" s="179"/>
      <c r="F41" s="179"/>
    </row>
    <row r="42" spans="1:6" ht="24.75" customHeight="1" x14ac:dyDescent="0.2">
      <c r="A42" s="216"/>
      <c r="B42" s="183"/>
      <c r="C42" s="171" t="s">
        <v>31</v>
      </c>
      <c r="D42" s="219"/>
      <c r="E42" s="179">
        <v>100</v>
      </c>
      <c r="F42" s="179"/>
    </row>
    <row r="43" spans="1:6" ht="24.75" customHeight="1" x14ac:dyDescent="0.2">
      <c r="A43" s="216"/>
      <c r="B43" s="173"/>
      <c r="C43" s="171" t="s">
        <v>60</v>
      </c>
      <c r="D43" s="219"/>
      <c r="E43" s="179">
        <v>120</v>
      </c>
      <c r="F43" s="179"/>
    </row>
    <row r="44" spans="1:6" ht="24.75" customHeight="1" thickBot="1" x14ac:dyDescent="0.25">
      <c r="A44" s="217"/>
      <c r="B44" s="190"/>
      <c r="C44" s="189"/>
      <c r="D44" s="220"/>
      <c r="E44" s="180"/>
      <c r="F44" s="180"/>
    </row>
    <row r="45" spans="1:6" ht="24.75" customHeight="1" x14ac:dyDescent="0.2">
      <c r="A45" s="215" t="s">
        <v>61</v>
      </c>
      <c r="B45" s="185" t="s">
        <v>62</v>
      </c>
      <c r="C45" s="186" t="s">
        <v>44</v>
      </c>
      <c r="D45" s="218" t="s">
        <v>63</v>
      </c>
      <c r="E45" s="187">
        <v>50</v>
      </c>
      <c r="F45" s="187"/>
    </row>
    <row r="46" spans="1:6" ht="24.75" customHeight="1" x14ac:dyDescent="0.2">
      <c r="A46" s="216"/>
      <c r="B46" s="183" t="s">
        <v>64</v>
      </c>
      <c r="C46" s="171" t="s">
        <v>65</v>
      </c>
      <c r="D46" s="219"/>
      <c r="E46" s="179">
        <v>50</v>
      </c>
      <c r="F46" s="179"/>
    </row>
    <row r="47" spans="1:6" ht="24.75" customHeight="1" x14ac:dyDescent="0.2">
      <c r="A47" s="216"/>
      <c r="B47" s="183" t="s">
        <v>66</v>
      </c>
      <c r="C47" s="171" t="s">
        <v>29</v>
      </c>
      <c r="D47" s="219"/>
      <c r="E47" s="179">
        <v>30</v>
      </c>
      <c r="F47" s="179"/>
    </row>
    <row r="48" spans="1:6" ht="24.75" customHeight="1" thickBot="1" x14ac:dyDescent="0.25">
      <c r="A48" s="217"/>
      <c r="B48" s="188"/>
      <c r="C48" s="189" t="s">
        <v>49</v>
      </c>
      <c r="D48" s="220"/>
      <c r="E48" s="180"/>
      <c r="F48" s="180"/>
    </row>
    <row r="49" spans="4:5" ht="24.75" customHeight="1" thickBot="1" x14ac:dyDescent="0.25">
      <c r="D49" s="184" t="s">
        <v>456</v>
      </c>
      <c r="E49" s="199">
        <f>SUM(E4:E48)</f>
        <v>1496</v>
      </c>
    </row>
    <row r="50" spans="4:5" ht="24.75" customHeight="1" x14ac:dyDescent="0.2">
      <c r="D50" s="9"/>
    </row>
    <row r="51" spans="4:5" ht="24.75" customHeight="1" x14ac:dyDescent="0.2"/>
    <row r="52" spans="4:5" ht="24.75" customHeight="1" x14ac:dyDescent="0.2"/>
    <row r="53" spans="4:5" ht="24.75" customHeight="1" x14ac:dyDescent="0.2"/>
  </sheetData>
  <mergeCells count="13">
    <mergeCell ref="A45:A48"/>
    <mergeCell ref="D45:D48"/>
    <mergeCell ref="A4:A11"/>
    <mergeCell ref="A12:A18"/>
    <mergeCell ref="A19:A26"/>
    <mergeCell ref="D19:D26"/>
    <mergeCell ref="A27:A33"/>
    <mergeCell ref="D27:D33"/>
    <mergeCell ref="A34:A37"/>
    <mergeCell ref="B34:B37"/>
    <mergeCell ref="D34:D37"/>
    <mergeCell ref="A38:A44"/>
    <mergeCell ref="D38:D44"/>
  </mergeCells>
  <pageMargins left="0.70866141732283472" right="0.51181102362204722" top="0.74803149606299213" bottom="0.74803149606299213" header="0.31496062992125984" footer="0.31496062992125984"/>
  <pageSetup scale="90" orientation="landscape" r:id="rId1"/>
  <headerFooter>
    <oddHeader>&amp;R&amp;G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D106"/>
  <sheetViews>
    <sheetView topLeftCell="A61" workbookViewId="0">
      <selection activeCell="V7" sqref="V7"/>
    </sheetView>
  </sheetViews>
  <sheetFormatPr defaultColWidth="10.76171875" defaultRowHeight="15" x14ac:dyDescent="0.2"/>
  <cols>
    <col min="2" max="2" width="6.1875" bestFit="1" customWidth="1"/>
    <col min="3" max="3" width="3.09375" hidden="1" customWidth="1"/>
    <col min="4" max="4" width="10.22265625" hidden="1" customWidth="1"/>
    <col min="5" max="5" width="10.22265625" bestFit="1" customWidth="1"/>
    <col min="6" max="6" width="37.26171875" customWidth="1"/>
    <col min="7" max="7" width="3.2265625" bestFit="1" customWidth="1"/>
    <col min="8" max="8" width="12.5078125" bestFit="1" customWidth="1"/>
    <col min="9" max="9" width="13.046875" bestFit="1" customWidth="1"/>
    <col min="10" max="10" width="12.10546875" bestFit="1" customWidth="1"/>
    <col min="11" max="11" width="14.796875" bestFit="1" customWidth="1"/>
    <col min="12" max="13" width="14.52734375" style="26" customWidth="1"/>
    <col min="14" max="14" width="10.625" hidden="1" customWidth="1"/>
    <col min="15" max="15" width="7.93359375" hidden="1" customWidth="1"/>
    <col min="16" max="16" width="8.7421875" hidden="1" customWidth="1"/>
    <col min="17" max="17" width="13.046875" customWidth="1"/>
    <col min="18" max="18" width="7.12890625" hidden="1" customWidth="1"/>
    <col min="19" max="19" width="11.02734375" hidden="1" customWidth="1"/>
    <col min="20" max="20" width="13.5859375" customWidth="1"/>
    <col min="21" max="21" width="10.22265625" hidden="1" customWidth="1"/>
    <col min="22" max="22" width="9.01171875" customWidth="1"/>
    <col min="23" max="23" width="8.875" hidden="1" customWidth="1"/>
    <col min="24" max="25" width="11.43359375" customWidth="1"/>
    <col min="26" max="26" width="33.08984375" customWidth="1"/>
    <col min="27" max="27" width="11.8359375" customWidth="1"/>
    <col min="28" max="28" width="15.6015625" customWidth="1"/>
    <col min="29" max="29" width="27.171875" customWidth="1"/>
    <col min="30" max="30" width="11.43359375" customWidth="1"/>
    <col min="252" max="252" width="6.1875" bestFit="1" customWidth="1"/>
    <col min="253" max="253" width="3.09375" customWidth="1"/>
    <col min="254" max="254" width="11.43359375" customWidth="1"/>
    <col min="255" max="255" width="10.22265625" bestFit="1" customWidth="1"/>
    <col min="256" max="256" width="37.26171875" customWidth="1"/>
    <col min="257" max="257" width="3.2265625" bestFit="1" customWidth="1"/>
    <col min="258" max="258" width="6.72265625" customWidth="1"/>
    <col min="259" max="259" width="7.12890625" customWidth="1"/>
    <col min="260" max="260" width="8.609375" customWidth="1"/>
    <col min="261" max="261" width="7.26171875" customWidth="1"/>
    <col min="262" max="262" width="11.703125" customWidth="1"/>
    <col min="263" max="263" width="8.7421875" bestFit="1" customWidth="1"/>
    <col min="264" max="264" width="7.93359375" customWidth="1"/>
    <col min="265" max="265" width="8.7421875" bestFit="1" customWidth="1"/>
    <col min="266" max="266" width="8.875" bestFit="1" customWidth="1"/>
    <col min="267" max="267" width="7.12890625" customWidth="1"/>
    <col min="268" max="269" width="11.02734375" customWidth="1"/>
    <col min="270" max="270" width="10.22265625" customWidth="1"/>
    <col min="271" max="271" width="9.01171875" bestFit="1" customWidth="1"/>
    <col min="272" max="272" width="8.875" bestFit="1" customWidth="1"/>
    <col min="275" max="275" width="33.08984375" bestFit="1" customWidth="1"/>
    <col min="276" max="276" width="11.8359375" bestFit="1" customWidth="1"/>
    <col min="277" max="277" width="15.6015625" bestFit="1" customWidth="1"/>
    <col min="278" max="278" width="27.171875" bestFit="1" customWidth="1"/>
    <col min="508" max="508" width="6.1875" bestFit="1" customWidth="1"/>
    <col min="509" max="509" width="3.09375" customWidth="1"/>
    <col min="510" max="510" width="11.43359375" customWidth="1"/>
    <col min="511" max="511" width="10.22265625" bestFit="1" customWidth="1"/>
    <col min="512" max="512" width="37.26171875" customWidth="1"/>
    <col min="513" max="513" width="3.2265625" bestFit="1" customWidth="1"/>
    <col min="514" max="514" width="6.72265625" customWidth="1"/>
    <col min="515" max="515" width="7.12890625" customWidth="1"/>
    <col min="516" max="516" width="8.609375" customWidth="1"/>
    <col min="517" max="517" width="7.26171875" customWidth="1"/>
    <col min="518" max="518" width="11.703125" customWidth="1"/>
    <col min="519" max="519" width="8.7421875" bestFit="1" customWidth="1"/>
    <col min="520" max="520" width="7.93359375" customWidth="1"/>
    <col min="521" max="521" width="8.7421875" bestFit="1" customWidth="1"/>
    <col min="522" max="522" width="8.875" bestFit="1" customWidth="1"/>
    <col min="523" max="523" width="7.12890625" customWidth="1"/>
    <col min="524" max="525" width="11.02734375" customWidth="1"/>
    <col min="526" max="526" width="10.22265625" customWidth="1"/>
    <col min="527" max="527" width="9.01171875" bestFit="1" customWidth="1"/>
    <col min="528" max="528" width="8.875" bestFit="1" customWidth="1"/>
    <col min="531" max="531" width="33.08984375" bestFit="1" customWidth="1"/>
    <col min="532" max="532" width="11.8359375" bestFit="1" customWidth="1"/>
    <col min="533" max="533" width="15.6015625" bestFit="1" customWidth="1"/>
    <col min="534" max="534" width="27.171875" bestFit="1" customWidth="1"/>
    <col min="764" max="764" width="6.1875" bestFit="1" customWidth="1"/>
    <col min="765" max="765" width="3.09375" customWidth="1"/>
    <col min="766" max="766" width="11.43359375" customWidth="1"/>
    <col min="767" max="767" width="10.22265625" bestFit="1" customWidth="1"/>
    <col min="768" max="768" width="37.26171875" customWidth="1"/>
    <col min="769" max="769" width="3.2265625" bestFit="1" customWidth="1"/>
    <col min="770" max="770" width="6.72265625" customWidth="1"/>
    <col min="771" max="771" width="7.12890625" customWidth="1"/>
    <col min="772" max="772" width="8.609375" customWidth="1"/>
    <col min="773" max="773" width="7.26171875" customWidth="1"/>
    <col min="774" max="774" width="11.703125" customWidth="1"/>
    <col min="775" max="775" width="8.7421875" bestFit="1" customWidth="1"/>
    <col min="776" max="776" width="7.93359375" customWidth="1"/>
    <col min="777" max="777" width="8.7421875" bestFit="1" customWidth="1"/>
    <col min="778" max="778" width="8.875" bestFit="1" customWidth="1"/>
    <col min="779" max="779" width="7.12890625" customWidth="1"/>
    <col min="780" max="781" width="11.02734375" customWidth="1"/>
    <col min="782" max="782" width="10.22265625" customWidth="1"/>
    <col min="783" max="783" width="9.01171875" bestFit="1" customWidth="1"/>
    <col min="784" max="784" width="8.875" bestFit="1" customWidth="1"/>
    <col min="787" max="787" width="33.08984375" bestFit="1" customWidth="1"/>
    <col min="788" max="788" width="11.8359375" bestFit="1" customWidth="1"/>
    <col min="789" max="789" width="15.6015625" bestFit="1" customWidth="1"/>
    <col min="790" max="790" width="27.171875" bestFit="1" customWidth="1"/>
    <col min="1020" max="1020" width="6.1875" bestFit="1" customWidth="1"/>
    <col min="1021" max="1021" width="3.09375" customWidth="1"/>
    <col min="1022" max="1022" width="11.43359375" customWidth="1"/>
    <col min="1023" max="1023" width="10.22265625" bestFit="1" customWidth="1"/>
    <col min="1024" max="1024" width="37.26171875" customWidth="1"/>
    <col min="1025" max="1025" width="3.2265625" bestFit="1" customWidth="1"/>
    <col min="1026" max="1026" width="6.72265625" customWidth="1"/>
    <col min="1027" max="1027" width="7.12890625" customWidth="1"/>
    <col min="1028" max="1028" width="8.609375" customWidth="1"/>
    <col min="1029" max="1029" width="7.26171875" customWidth="1"/>
    <col min="1030" max="1030" width="11.703125" customWidth="1"/>
    <col min="1031" max="1031" width="8.7421875" bestFit="1" customWidth="1"/>
    <col min="1032" max="1032" width="7.93359375" customWidth="1"/>
    <col min="1033" max="1033" width="8.7421875" bestFit="1" customWidth="1"/>
    <col min="1034" max="1034" width="8.875" bestFit="1" customWidth="1"/>
    <col min="1035" max="1035" width="7.12890625" customWidth="1"/>
    <col min="1036" max="1037" width="11.02734375" customWidth="1"/>
    <col min="1038" max="1038" width="10.22265625" customWidth="1"/>
    <col min="1039" max="1039" width="9.01171875" bestFit="1" customWidth="1"/>
    <col min="1040" max="1040" width="8.875" bestFit="1" customWidth="1"/>
    <col min="1043" max="1043" width="33.08984375" bestFit="1" customWidth="1"/>
    <col min="1044" max="1044" width="11.8359375" bestFit="1" customWidth="1"/>
    <col min="1045" max="1045" width="15.6015625" bestFit="1" customWidth="1"/>
    <col min="1046" max="1046" width="27.171875" bestFit="1" customWidth="1"/>
    <col min="1276" max="1276" width="6.1875" bestFit="1" customWidth="1"/>
    <col min="1277" max="1277" width="3.09375" customWidth="1"/>
    <col min="1278" max="1278" width="11.43359375" customWidth="1"/>
    <col min="1279" max="1279" width="10.22265625" bestFit="1" customWidth="1"/>
    <col min="1280" max="1280" width="37.26171875" customWidth="1"/>
    <col min="1281" max="1281" width="3.2265625" bestFit="1" customWidth="1"/>
    <col min="1282" max="1282" width="6.72265625" customWidth="1"/>
    <col min="1283" max="1283" width="7.12890625" customWidth="1"/>
    <col min="1284" max="1284" width="8.609375" customWidth="1"/>
    <col min="1285" max="1285" width="7.26171875" customWidth="1"/>
    <col min="1286" max="1286" width="11.703125" customWidth="1"/>
    <col min="1287" max="1287" width="8.7421875" bestFit="1" customWidth="1"/>
    <col min="1288" max="1288" width="7.93359375" customWidth="1"/>
    <col min="1289" max="1289" width="8.7421875" bestFit="1" customWidth="1"/>
    <col min="1290" max="1290" width="8.875" bestFit="1" customWidth="1"/>
    <col min="1291" max="1291" width="7.12890625" customWidth="1"/>
    <col min="1292" max="1293" width="11.02734375" customWidth="1"/>
    <col min="1294" max="1294" width="10.22265625" customWidth="1"/>
    <col min="1295" max="1295" width="9.01171875" bestFit="1" customWidth="1"/>
    <col min="1296" max="1296" width="8.875" bestFit="1" customWidth="1"/>
    <col min="1299" max="1299" width="33.08984375" bestFit="1" customWidth="1"/>
    <col min="1300" max="1300" width="11.8359375" bestFit="1" customWidth="1"/>
    <col min="1301" max="1301" width="15.6015625" bestFit="1" customWidth="1"/>
    <col min="1302" max="1302" width="27.171875" bestFit="1" customWidth="1"/>
    <col min="1532" max="1532" width="6.1875" bestFit="1" customWidth="1"/>
    <col min="1533" max="1533" width="3.09375" customWidth="1"/>
    <col min="1534" max="1534" width="11.43359375" customWidth="1"/>
    <col min="1535" max="1535" width="10.22265625" bestFit="1" customWidth="1"/>
    <col min="1536" max="1536" width="37.26171875" customWidth="1"/>
    <col min="1537" max="1537" width="3.2265625" bestFit="1" customWidth="1"/>
    <col min="1538" max="1538" width="6.72265625" customWidth="1"/>
    <col min="1539" max="1539" width="7.12890625" customWidth="1"/>
    <col min="1540" max="1540" width="8.609375" customWidth="1"/>
    <col min="1541" max="1541" width="7.26171875" customWidth="1"/>
    <col min="1542" max="1542" width="11.703125" customWidth="1"/>
    <col min="1543" max="1543" width="8.7421875" bestFit="1" customWidth="1"/>
    <col min="1544" max="1544" width="7.93359375" customWidth="1"/>
    <col min="1545" max="1545" width="8.7421875" bestFit="1" customWidth="1"/>
    <col min="1546" max="1546" width="8.875" bestFit="1" customWidth="1"/>
    <col min="1547" max="1547" width="7.12890625" customWidth="1"/>
    <col min="1548" max="1549" width="11.02734375" customWidth="1"/>
    <col min="1550" max="1550" width="10.22265625" customWidth="1"/>
    <col min="1551" max="1551" width="9.01171875" bestFit="1" customWidth="1"/>
    <col min="1552" max="1552" width="8.875" bestFit="1" customWidth="1"/>
    <col min="1555" max="1555" width="33.08984375" bestFit="1" customWidth="1"/>
    <col min="1556" max="1556" width="11.8359375" bestFit="1" customWidth="1"/>
    <col min="1557" max="1557" width="15.6015625" bestFit="1" customWidth="1"/>
    <col min="1558" max="1558" width="27.171875" bestFit="1" customWidth="1"/>
    <col min="1788" max="1788" width="6.1875" bestFit="1" customWidth="1"/>
    <col min="1789" max="1789" width="3.09375" customWidth="1"/>
    <col min="1790" max="1790" width="11.43359375" customWidth="1"/>
    <col min="1791" max="1791" width="10.22265625" bestFit="1" customWidth="1"/>
    <col min="1792" max="1792" width="37.26171875" customWidth="1"/>
    <col min="1793" max="1793" width="3.2265625" bestFit="1" customWidth="1"/>
    <col min="1794" max="1794" width="6.72265625" customWidth="1"/>
    <col min="1795" max="1795" width="7.12890625" customWidth="1"/>
    <col min="1796" max="1796" width="8.609375" customWidth="1"/>
    <col min="1797" max="1797" width="7.26171875" customWidth="1"/>
    <col min="1798" max="1798" width="11.703125" customWidth="1"/>
    <col min="1799" max="1799" width="8.7421875" bestFit="1" customWidth="1"/>
    <col min="1800" max="1800" width="7.93359375" customWidth="1"/>
    <col min="1801" max="1801" width="8.7421875" bestFit="1" customWidth="1"/>
    <col min="1802" max="1802" width="8.875" bestFit="1" customWidth="1"/>
    <col min="1803" max="1803" width="7.12890625" customWidth="1"/>
    <col min="1804" max="1805" width="11.02734375" customWidth="1"/>
    <col min="1806" max="1806" width="10.22265625" customWidth="1"/>
    <col min="1807" max="1807" width="9.01171875" bestFit="1" customWidth="1"/>
    <col min="1808" max="1808" width="8.875" bestFit="1" customWidth="1"/>
    <col min="1811" max="1811" width="33.08984375" bestFit="1" customWidth="1"/>
    <col min="1812" max="1812" width="11.8359375" bestFit="1" customWidth="1"/>
    <col min="1813" max="1813" width="15.6015625" bestFit="1" customWidth="1"/>
    <col min="1814" max="1814" width="27.171875" bestFit="1" customWidth="1"/>
    <col min="2044" max="2044" width="6.1875" bestFit="1" customWidth="1"/>
    <col min="2045" max="2045" width="3.09375" customWidth="1"/>
    <col min="2046" max="2046" width="11.43359375" customWidth="1"/>
    <col min="2047" max="2047" width="10.22265625" bestFit="1" customWidth="1"/>
    <col min="2048" max="2048" width="37.26171875" customWidth="1"/>
    <col min="2049" max="2049" width="3.2265625" bestFit="1" customWidth="1"/>
    <col min="2050" max="2050" width="6.72265625" customWidth="1"/>
    <col min="2051" max="2051" width="7.12890625" customWidth="1"/>
    <col min="2052" max="2052" width="8.609375" customWidth="1"/>
    <col min="2053" max="2053" width="7.26171875" customWidth="1"/>
    <col min="2054" max="2054" width="11.703125" customWidth="1"/>
    <col min="2055" max="2055" width="8.7421875" bestFit="1" customWidth="1"/>
    <col min="2056" max="2056" width="7.93359375" customWidth="1"/>
    <col min="2057" max="2057" width="8.7421875" bestFit="1" customWidth="1"/>
    <col min="2058" max="2058" width="8.875" bestFit="1" customWidth="1"/>
    <col min="2059" max="2059" width="7.12890625" customWidth="1"/>
    <col min="2060" max="2061" width="11.02734375" customWidth="1"/>
    <col min="2062" max="2062" width="10.22265625" customWidth="1"/>
    <col min="2063" max="2063" width="9.01171875" bestFit="1" customWidth="1"/>
    <col min="2064" max="2064" width="8.875" bestFit="1" customWidth="1"/>
    <col min="2067" max="2067" width="33.08984375" bestFit="1" customWidth="1"/>
    <col min="2068" max="2068" width="11.8359375" bestFit="1" customWidth="1"/>
    <col min="2069" max="2069" width="15.6015625" bestFit="1" customWidth="1"/>
    <col min="2070" max="2070" width="27.171875" bestFit="1" customWidth="1"/>
    <col min="2300" max="2300" width="6.1875" bestFit="1" customWidth="1"/>
    <col min="2301" max="2301" width="3.09375" customWidth="1"/>
    <col min="2302" max="2302" width="11.43359375" customWidth="1"/>
    <col min="2303" max="2303" width="10.22265625" bestFit="1" customWidth="1"/>
    <col min="2304" max="2304" width="37.26171875" customWidth="1"/>
    <col min="2305" max="2305" width="3.2265625" bestFit="1" customWidth="1"/>
    <col min="2306" max="2306" width="6.72265625" customWidth="1"/>
    <col min="2307" max="2307" width="7.12890625" customWidth="1"/>
    <col min="2308" max="2308" width="8.609375" customWidth="1"/>
    <col min="2309" max="2309" width="7.26171875" customWidth="1"/>
    <col min="2310" max="2310" width="11.703125" customWidth="1"/>
    <col min="2311" max="2311" width="8.7421875" bestFit="1" customWidth="1"/>
    <col min="2312" max="2312" width="7.93359375" customWidth="1"/>
    <col min="2313" max="2313" width="8.7421875" bestFit="1" customWidth="1"/>
    <col min="2314" max="2314" width="8.875" bestFit="1" customWidth="1"/>
    <col min="2315" max="2315" width="7.12890625" customWidth="1"/>
    <col min="2316" max="2317" width="11.02734375" customWidth="1"/>
    <col min="2318" max="2318" width="10.22265625" customWidth="1"/>
    <col min="2319" max="2319" width="9.01171875" bestFit="1" customWidth="1"/>
    <col min="2320" max="2320" width="8.875" bestFit="1" customWidth="1"/>
    <col min="2323" max="2323" width="33.08984375" bestFit="1" customWidth="1"/>
    <col min="2324" max="2324" width="11.8359375" bestFit="1" customWidth="1"/>
    <col min="2325" max="2325" width="15.6015625" bestFit="1" customWidth="1"/>
    <col min="2326" max="2326" width="27.171875" bestFit="1" customWidth="1"/>
    <col min="2556" max="2556" width="6.1875" bestFit="1" customWidth="1"/>
    <col min="2557" max="2557" width="3.09375" customWidth="1"/>
    <col min="2558" max="2558" width="11.43359375" customWidth="1"/>
    <col min="2559" max="2559" width="10.22265625" bestFit="1" customWidth="1"/>
    <col min="2560" max="2560" width="37.26171875" customWidth="1"/>
    <col min="2561" max="2561" width="3.2265625" bestFit="1" customWidth="1"/>
    <col min="2562" max="2562" width="6.72265625" customWidth="1"/>
    <col min="2563" max="2563" width="7.12890625" customWidth="1"/>
    <col min="2564" max="2564" width="8.609375" customWidth="1"/>
    <col min="2565" max="2565" width="7.26171875" customWidth="1"/>
    <col min="2566" max="2566" width="11.703125" customWidth="1"/>
    <col min="2567" max="2567" width="8.7421875" bestFit="1" customWidth="1"/>
    <col min="2568" max="2568" width="7.93359375" customWidth="1"/>
    <col min="2569" max="2569" width="8.7421875" bestFit="1" customWidth="1"/>
    <col min="2570" max="2570" width="8.875" bestFit="1" customWidth="1"/>
    <col min="2571" max="2571" width="7.12890625" customWidth="1"/>
    <col min="2572" max="2573" width="11.02734375" customWidth="1"/>
    <col min="2574" max="2574" width="10.22265625" customWidth="1"/>
    <col min="2575" max="2575" width="9.01171875" bestFit="1" customWidth="1"/>
    <col min="2576" max="2576" width="8.875" bestFit="1" customWidth="1"/>
    <col min="2579" max="2579" width="33.08984375" bestFit="1" customWidth="1"/>
    <col min="2580" max="2580" width="11.8359375" bestFit="1" customWidth="1"/>
    <col min="2581" max="2581" width="15.6015625" bestFit="1" customWidth="1"/>
    <col min="2582" max="2582" width="27.171875" bestFit="1" customWidth="1"/>
    <col min="2812" max="2812" width="6.1875" bestFit="1" customWidth="1"/>
    <col min="2813" max="2813" width="3.09375" customWidth="1"/>
    <col min="2814" max="2814" width="11.43359375" customWidth="1"/>
    <col min="2815" max="2815" width="10.22265625" bestFit="1" customWidth="1"/>
    <col min="2816" max="2816" width="37.26171875" customWidth="1"/>
    <col min="2817" max="2817" width="3.2265625" bestFit="1" customWidth="1"/>
    <col min="2818" max="2818" width="6.72265625" customWidth="1"/>
    <col min="2819" max="2819" width="7.12890625" customWidth="1"/>
    <col min="2820" max="2820" width="8.609375" customWidth="1"/>
    <col min="2821" max="2821" width="7.26171875" customWidth="1"/>
    <col min="2822" max="2822" width="11.703125" customWidth="1"/>
    <col min="2823" max="2823" width="8.7421875" bestFit="1" customWidth="1"/>
    <col min="2824" max="2824" width="7.93359375" customWidth="1"/>
    <col min="2825" max="2825" width="8.7421875" bestFit="1" customWidth="1"/>
    <col min="2826" max="2826" width="8.875" bestFit="1" customWidth="1"/>
    <col min="2827" max="2827" width="7.12890625" customWidth="1"/>
    <col min="2828" max="2829" width="11.02734375" customWidth="1"/>
    <col min="2830" max="2830" width="10.22265625" customWidth="1"/>
    <col min="2831" max="2831" width="9.01171875" bestFit="1" customWidth="1"/>
    <col min="2832" max="2832" width="8.875" bestFit="1" customWidth="1"/>
    <col min="2835" max="2835" width="33.08984375" bestFit="1" customWidth="1"/>
    <col min="2836" max="2836" width="11.8359375" bestFit="1" customWidth="1"/>
    <col min="2837" max="2837" width="15.6015625" bestFit="1" customWidth="1"/>
    <col min="2838" max="2838" width="27.171875" bestFit="1" customWidth="1"/>
    <col min="3068" max="3068" width="6.1875" bestFit="1" customWidth="1"/>
    <col min="3069" max="3069" width="3.09375" customWidth="1"/>
    <col min="3070" max="3070" width="11.43359375" customWidth="1"/>
    <col min="3071" max="3071" width="10.22265625" bestFit="1" customWidth="1"/>
    <col min="3072" max="3072" width="37.26171875" customWidth="1"/>
    <col min="3073" max="3073" width="3.2265625" bestFit="1" customWidth="1"/>
    <col min="3074" max="3074" width="6.72265625" customWidth="1"/>
    <col min="3075" max="3075" width="7.12890625" customWidth="1"/>
    <col min="3076" max="3076" width="8.609375" customWidth="1"/>
    <col min="3077" max="3077" width="7.26171875" customWidth="1"/>
    <col min="3078" max="3078" width="11.703125" customWidth="1"/>
    <col min="3079" max="3079" width="8.7421875" bestFit="1" customWidth="1"/>
    <col min="3080" max="3080" width="7.93359375" customWidth="1"/>
    <col min="3081" max="3081" width="8.7421875" bestFit="1" customWidth="1"/>
    <col min="3082" max="3082" width="8.875" bestFit="1" customWidth="1"/>
    <col min="3083" max="3083" width="7.12890625" customWidth="1"/>
    <col min="3084" max="3085" width="11.02734375" customWidth="1"/>
    <col min="3086" max="3086" width="10.22265625" customWidth="1"/>
    <col min="3087" max="3087" width="9.01171875" bestFit="1" customWidth="1"/>
    <col min="3088" max="3088" width="8.875" bestFit="1" customWidth="1"/>
    <col min="3091" max="3091" width="33.08984375" bestFit="1" customWidth="1"/>
    <col min="3092" max="3092" width="11.8359375" bestFit="1" customWidth="1"/>
    <col min="3093" max="3093" width="15.6015625" bestFit="1" customWidth="1"/>
    <col min="3094" max="3094" width="27.171875" bestFit="1" customWidth="1"/>
    <col min="3324" max="3324" width="6.1875" bestFit="1" customWidth="1"/>
    <col min="3325" max="3325" width="3.09375" customWidth="1"/>
    <col min="3326" max="3326" width="11.43359375" customWidth="1"/>
    <col min="3327" max="3327" width="10.22265625" bestFit="1" customWidth="1"/>
    <col min="3328" max="3328" width="37.26171875" customWidth="1"/>
    <col min="3329" max="3329" width="3.2265625" bestFit="1" customWidth="1"/>
    <col min="3330" max="3330" width="6.72265625" customWidth="1"/>
    <col min="3331" max="3331" width="7.12890625" customWidth="1"/>
    <col min="3332" max="3332" width="8.609375" customWidth="1"/>
    <col min="3333" max="3333" width="7.26171875" customWidth="1"/>
    <col min="3334" max="3334" width="11.703125" customWidth="1"/>
    <col min="3335" max="3335" width="8.7421875" bestFit="1" customWidth="1"/>
    <col min="3336" max="3336" width="7.93359375" customWidth="1"/>
    <col min="3337" max="3337" width="8.7421875" bestFit="1" customWidth="1"/>
    <col min="3338" max="3338" width="8.875" bestFit="1" customWidth="1"/>
    <col min="3339" max="3339" width="7.12890625" customWidth="1"/>
    <col min="3340" max="3341" width="11.02734375" customWidth="1"/>
    <col min="3342" max="3342" width="10.22265625" customWidth="1"/>
    <col min="3343" max="3343" width="9.01171875" bestFit="1" customWidth="1"/>
    <col min="3344" max="3344" width="8.875" bestFit="1" customWidth="1"/>
    <col min="3347" max="3347" width="33.08984375" bestFit="1" customWidth="1"/>
    <col min="3348" max="3348" width="11.8359375" bestFit="1" customWidth="1"/>
    <col min="3349" max="3349" width="15.6015625" bestFit="1" customWidth="1"/>
    <col min="3350" max="3350" width="27.171875" bestFit="1" customWidth="1"/>
    <col min="3580" max="3580" width="6.1875" bestFit="1" customWidth="1"/>
    <col min="3581" max="3581" width="3.09375" customWidth="1"/>
    <col min="3582" max="3582" width="11.43359375" customWidth="1"/>
    <col min="3583" max="3583" width="10.22265625" bestFit="1" customWidth="1"/>
    <col min="3584" max="3584" width="37.26171875" customWidth="1"/>
    <col min="3585" max="3585" width="3.2265625" bestFit="1" customWidth="1"/>
    <col min="3586" max="3586" width="6.72265625" customWidth="1"/>
    <col min="3587" max="3587" width="7.12890625" customWidth="1"/>
    <col min="3588" max="3588" width="8.609375" customWidth="1"/>
    <col min="3589" max="3589" width="7.26171875" customWidth="1"/>
    <col min="3590" max="3590" width="11.703125" customWidth="1"/>
    <col min="3591" max="3591" width="8.7421875" bestFit="1" customWidth="1"/>
    <col min="3592" max="3592" width="7.93359375" customWidth="1"/>
    <col min="3593" max="3593" width="8.7421875" bestFit="1" customWidth="1"/>
    <col min="3594" max="3594" width="8.875" bestFit="1" customWidth="1"/>
    <col min="3595" max="3595" width="7.12890625" customWidth="1"/>
    <col min="3596" max="3597" width="11.02734375" customWidth="1"/>
    <col min="3598" max="3598" width="10.22265625" customWidth="1"/>
    <col min="3599" max="3599" width="9.01171875" bestFit="1" customWidth="1"/>
    <col min="3600" max="3600" width="8.875" bestFit="1" customWidth="1"/>
    <col min="3603" max="3603" width="33.08984375" bestFit="1" customWidth="1"/>
    <col min="3604" max="3604" width="11.8359375" bestFit="1" customWidth="1"/>
    <col min="3605" max="3605" width="15.6015625" bestFit="1" customWidth="1"/>
    <col min="3606" max="3606" width="27.171875" bestFit="1" customWidth="1"/>
    <col min="3836" max="3836" width="6.1875" bestFit="1" customWidth="1"/>
    <col min="3837" max="3837" width="3.09375" customWidth="1"/>
    <col min="3838" max="3838" width="11.43359375" customWidth="1"/>
    <col min="3839" max="3839" width="10.22265625" bestFit="1" customWidth="1"/>
    <col min="3840" max="3840" width="37.26171875" customWidth="1"/>
    <col min="3841" max="3841" width="3.2265625" bestFit="1" customWidth="1"/>
    <col min="3842" max="3842" width="6.72265625" customWidth="1"/>
    <col min="3843" max="3843" width="7.12890625" customWidth="1"/>
    <col min="3844" max="3844" width="8.609375" customWidth="1"/>
    <col min="3845" max="3845" width="7.26171875" customWidth="1"/>
    <col min="3846" max="3846" width="11.703125" customWidth="1"/>
    <col min="3847" max="3847" width="8.7421875" bestFit="1" customWidth="1"/>
    <col min="3848" max="3848" width="7.93359375" customWidth="1"/>
    <col min="3849" max="3849" width="8.7421875" bestFit="1" customWidth="1"/>
    <col min="3850" max="3850" width="8.875" bestFit="1" customWidth="1"/>
    <col min="3851" max="3851" width="7.12890625" customWidth="1"/>
    <col min="3852" max="3853" width="11.02734375" customWidth="1"/>
    <col min="3854" max="3854" width="10.22265625" customWidth="1"/>
    <col min="3855" max="3855" width="9.01171875" bestFit="1" customWidth="1"/>
    <col min="3856" max="3856" width="8.875" bestFit="1" customWidth="1"/>
    <col min="3859" max="3859" width="33.08984375" bestFit="1" customWidth="1"/>
    <col min="3860" max="3860" width="11.8359375" bestFit="1" customWidth="1"/>
    <col min="3861" max="3861" width="15.6015625" bestFit="1" customWidth="1"/>
    <col min="3862" max="3862" width="27.171875" bestFit="1" customWidth="1"/>
    <col min="4092" max="4092" width="6.1875" bestFit="1" customWidth="1"/>
    <col min="4093" max="4093" width="3.09375" customWidth="1"/>
    <col min="4094" max="4094" width="11.43359375" customWidth="1"/>
    <col min="4095" max="4095" width="10.22265625" bestFit="1" customWidth="1"/>
    <col min="4096" max="4096" width="37.26171875" customWidth="1"/>
    <col min="4097" max="4097" width="3.2265625" bestFit="1" customWidth="1"/>
    <col min="4098" max="4098" width="6.72265625" customWidth="1"/>
    <col min="4099" max="4099" width="7.12890625" customWidth="1"/>
    <col min="4100" max="4100" width="8.609375" customWidth="1"/>
    <col min="4101" max="4101" width="7.26171875" customWidth="1"/>
    <col min="4102" max="4102" width="11.703125" customWidth="1"/>
    <col min="4103" max="4103" width="8.7421875" bestFit="1" customWidth="1"/>
    <col min="4104" max="4104" width="7.93359375" customWidth="1"/>
    <col min="4105" max="4105" width="8.7421875" bestFit="1" customWidth="1"/>
    <col min="4106" max="4106" width="8.875" bestFit="1" customWidth="1"/>
    <col min="4107" max="4107" width="7.12890625" customWidth="1"/>
    <col min="4108" max="4109" width="11.02734375" customWidth="1"/>
    <col min="4110" max="4110" width="10.22265625" customWidth="1"/>
    <col min="4111" max="4111" width="9.01171875" bestFit="1" customWidth="1"/>
    <col min="4112" max="4112" width="8.875" bestFit="1" customWidth="1"/>
    <col min="4115" max="4115" width="33.08984375" bestFit="1" customWidth="1"/>
    <col min="4116" max="4116" width="11.8359375" bestFit="1" customWidth="1"/>
    <col min="4117" max="4117" width="15.6015625" bestFit="1" customWidth="1"/>
    <col min="4118" max="4118" width="27.171875" bestFit="1" customWidth="1"/>
    <col min="4348" max="4348" width="6.1875" bestFit="1" customWidth="1"/>
    <col min="4349" max="4349" width="3.09375" customWidth="1"/>
    <col min="4350" max="4350" width="11.43359375" customWidth="1"/>
    <col min="4351" max="4351" width="10.22265625" bestFit="1" customWidth="1"/>
    <col min="4352" max="4352" width="37.26171875" customWidth="1"/>
    <col min="4353" max="4353" width="3.2265625" bestFit="1" customWidth="1"/>
    <col min="4354" max="4354" width="6.72265625" customWidth="1"/>
    <col min="4355" max="4355" width="7.12890625" customWidth="1"/>
    <col min="4356" max="4356" width="8.609375" customWidth="1"/>
    <col min="4357" max="4357" width="7.26171875" customWidth="1"/>
    <col min="4358" max="4358" width="11.703125" customWidth="1"/>
    <col min="4359" max="4359" width="8.7421875" bestFit="1" customWidth="1"/>
    <col min="4360" max="4360" width="7.93359375" customWidth="1"/>
    <col min="4361" max="4361" width="8.7421875" bestFit="1" customWidth="1"/>
    <col min="4362" max="4362" width="8.875" bestFit="1" customWidth="1"/>
    <col min="4363" max="4363" width="7.12890625" customWidth="1"/>
    <col min="4364" max="4365" width="11.02734375" customWidth="1"/>
    <col min="4366" max="4366" width="10.22265625" customWidth="1"/>
    <col min="4367" max="4367" width="9.01171875" bestFit="1" customWidth="1"/>
    <col min="4368" max="4368" width="8.875" bestFit="1" customWidth="1"/>
    <col min="4371" max="4371" width="33.08984375" bestFit="1" customWidth="1"/>
    <col min="4372" max="4372" width="11.8359375" bestFit="1" customWidth="1"/>
    <col min="4373" max="4373" width="15.6015625" bestFit="1" customWidth="1"/>
    <col min="4374" max="4374" width="27.171875" bestFit="1" customWidth="1"/>
    <col min="4604" max="4604" width="6.1875" bestFit="1" customWidth="1"/>
    <col min="4605" max="4605" width="3.09375" customWidth="1"/>
    <col min="4606" max="4606" width="11.43359375" customWidth="1"/>
    <col min="4607" max="4607" width="10.22265625" bestFit="1" customWidth="1"/>
    <col min="4608" max="4608" width="37.26171875" customWidth="1"/>
    <col min="4609" max="4609" width="3.2265625" bestFit="1" customWidth="1"/>
    <col min="4610" max="4610" width="6.72265625" customWidth="1"/>
    <col min="4611" max="4611" width="7.12890625" customWidth="1"/>
    <col min="4612" max="4612" width="8.609375" customWidth="1"/>
    <col min="4613" max="4613" width="7.26171875" customWidth="1"/>
    <col min="4614" max="4614" width="11.703125" customWidth="1"/>
    <col min="4615" max="4615" width="8.7421875" bestFit="1" customWidth="1"/>
    <col min="4616" max="4616" width="7.93359375" customWidth="1"/>
    <col min="4617" max="4617" width="8.7421875" bestFit="1" customWidth="1"/>
    <col min="4618" max="4618" width="8.875" bestFit="1" customWidth="1"/>
    <col min="4619" max="4619" width="7.12890625" customWidth="1"/>
    <col min="4620" max="4621" width="11.02734375" customWidth="1"/>
    <col min="4622" max="4622" width="10.22265625" customWidth="1"/>
    <col min="4623" max="4623" width="9.01171875" bestFit="1" customWidth="1"/>
    <col min="4624" max="4624" width="8.875" bestFit="1" customWidth="1"/>
    <col min="4627" max="4627" width="33.08984375" bestFit="1" customWidth="1"/>
    <col min="4628" max="4628" width="11.8359375" bestFit="1" customWidth="1"/>
    <col min="4629" max="4629" width="15.6015625" bestFit="1" customWidth="1"/>
    <col min="4630" max="4630" width="27.171875" bestFit="1" customWidth="1"/>
    <col min="4860" max="4860" width="6.1875" bestFit="1" customWidth="1"/>
    <col min="4861" max="4861" width="3.09375" customWidth="1"/>
    <col min="4862" max="4862" width="11.43359375" customWidth="1"/>
    <col min="4863" max="4863" width="10.22265625" bestFit="1" customWidth="1"/>
    <col min="4864" max="4864" width="37.26171875" customWidth="1"/>
    <col min="4865" max="4865" width="3.2265625" bestFit="1" customWidth="1"/>
    <col min="4866" max="4866" width="6.72265625" customWidth="1"/>
    <col min="4867" max="4867" width="7.12890625" customWidth="1"/>
    <col min="4868" max="4868" width="8.609375" customWidth="1"/>
    <col min="4869" max="4869" width="7.26171875" customWidth="1"/>
    <col min="4870" max="4870" width="11.703125" customWidth="1"/>
    <col min="4871" max="4871" width="8.7421875" bestFit="1" customWidth="1"/>
    <col min="4872" max="4872" width="7.93359375" customWidth="1"/>
    <col min="4873" max="4873" width="8.7421875" bestFit="1" customWidth="1"/>
    <col min="4874" max="4874" width="8.875" bestFit="1" customWidth="1"/>
    <col min="4875" max="4875" width="7.12890625" customWidth="1"/>
    <col min="4876" max="4877" width="11.02734375" customWidth="1"/>
    <col min="4878" max="4878" width="10.22265625" customWidth="1"/>
    <col min="4879" max="4879" width="9.01171875" bestFit="1" customWidth="1"/>
    <col min="4880" max="4880" width="8.875" bestFit="1" customWidth="1"/>
    <col min="4883" max="4883" width="33.08984375" bestFit="1" customWidth="1"/>
    <col min="4884" max="4884" width="11.8359375" bestFit="1" customWidth="1"/>
    <col min="4885" max="4885" width="15.6015625" bestFit="1" customWidth="1"/>
    <col min="4886" max="4886" width="27.171875" bestFit="1" customWidth="1"/>
    <col min="5116" max="5116" width="6.1875" bestFit="1" customWidth="1"/>
    <col min="5117" max="5117" width="3.09375" customWidth="1"/>
    <col min="5118" max="5118" width="11.43359375" customWidth="1"/>
    <col min="5119" max="5119" width="10.22265625" bestFit="1" customWidth="1"/>
    <col min="5120" max="5120" width="37.26171875" customWidth="1"/>
    <col min="5121" max="5121" width="3.2265625" bestFit="1" customWidth="1"/>
    <col min="5122" max="5122" width="6.72265625" customWidth="1"/>
    <col min="5123" max="5123" width="7.12890625" customWidth="1"/>
    <col min="5124" max="5124" width="8.609375" customWidth="1"/>
    <col min="5125" max="5125" width="7.26171875" customWidth="1"/>
    <col min="5126" max="5126" width="11.703125" customWidth="1"/>
    <col min="5127" max="5127" width="8.7421875" bestFit="1" customWidth="1"/>
    <col min="5128" max="5128" width="7.93359375" customWidth="1"/>
    <col min="5129" max="5129" width="8.7421875" bestFit="1" customWidth="1"/>
    <col min="5130" max="5130" width="8.875" bestFit="1" customWidth="1"/>
    <col min="5131" max="5131" width="7.12890625" customWidth="1"/>
    <col min="5132" max="5133" width="11.02734375" customWidth="1"/>
    <col min="5134" max="5134" width="10.22265625" customWidth="1"/>
    <col min="5135" max="5135" width="9.01171875" bestFit="1" customWidth="1"/>
    <col min="5136" max="5136" width="8.875" bestFit="1" customWidth="1"/>
    <col min="5139" max="5139" width="33.08984375" bestFit="1" customWidth="1"/>
    <col min="5140" max="5140" width="11.8359375" bestFit="1" customWidth="1"/>
    <col min="5141" max="5141" width="15.6015625" bestFit="1" customWidth="1"/>
    <col min="5142" max="5142" width="27.171875" bestFit="1" customWidth="1"/>
    <col min="5372" max="5372" width="6.1875" bestFit="1" customWidth="1"/>
    <col min="5373" max="5373" width="3.09375" customWidth="1"/>
    <col min="5374" max="5374" width="11.43359375" customWidth="1"/>
    <col min="5375" max="5375" width="10.22265625" bestFit="1" customWidth="1"/>
    <col min="5376" max="5376" width="37.26171875" customWidth="1"/>
    <col min="5377" max="5377" width="3.2265625" bestFit="1" customWidth="1"/>
    <col min="5378" max="5378" width="6.72265625" customWidth="1"/>
    <col min="5379" max="5379" width="7.12890625" customWidth="1"/>
    <col min="5380" max="5380" width="8.609375" customWidth="1"/>
    <col min="5381" max="5381" width="7.26171875" customWidth="1"/>
    <col min="5382" max="5382" width="11.703125" customWidth="1"/>
    <col min="5383" max="5383" width="8.7421875" bestFit="1" customWidth="1"/>
    <col min="5384" max="5384" width="7.93359375" customWidth="1"/>
    <col min="5385" max="5385" width="8.7421875" bestFit="1" customWidth="1"/>
    <col min="5386" max="5386" width="8.875" bestFit="1" customWidth="1"/>
    <col min="5387" max="5387" width="7.12890625" customWidth="1"/>
    <col min="5388" max="5389" width="11.02734375" customWidth="1"/>
    <col min="5390" max="5390" width="10.22265625" customWidth="1"/>
    <col min="5391" max="5391" width="9.01171875" bestFit="1" customWidth="1"/>
    <col min="5392" max="5392" width="8.875" bestFit="1" customWidth="1"/>
    <col min="5395" max="5395" width="33.08984375" bestFit="1" customWidth="1"/>
    <col min="5396" max="5396" width="11.8359375" bestFit="1" customWidth="1"/>
    <col min="5397" max="5397" width="15.6015625" bestFit="1" customWidth="1"/>
    <col min="5398" max="5398" width="27.171875" bestFit="1" customWidth="1"/>
    <col min="5628" max="5628" width="6.1875" bestFit="1" customWidth="1"/>
    <col min="5629" max="5629" width="3.09375" customWidth="1"/>
    <col min="5630" max="5630" width="11.43359375" customWidth="1"/>
    <col min="5631" max="5631" width="10.22265625" bestFit="1" customWidth="1"/>
    <col min="5632" max="5632" width="37.26171875" customWidth="1"/>
    <col min="5633" max="5633" width="3.2265625" bestFit="1" customWidth="1"/>
    <col min="5634" max="5634" width="6.72265625" customWidth="1"/>
    <col min="5635" max="5635" width="7.12890625" customWidth="1"/>
    <col min="5636" max="5636" width="8.609375" customWidth="1"/>
    <col min="5637" max="5637" width="7.26171875" customWidth="1"/>
    <col min="5638" max="5638" width="11.703125" customWidth="1"/>
    <col min="5639" max="5639" width="8.7421875" bestFit="1" customWidth="1"/>
    <col min="5640" max="5640" width="7.93359375" customWidth="1"/>
    <col min="5641" max="5641" width="8.7421875" bestFit="1" customWidth="1"/>
    <col min="5642" max="5642" width="8.875" bestFit="1" customWidth="1"/>
    <col min="5643" max="5643" width="7.12890625" customWidth="1"/>
    <col min="5644" max="5645" width="11.02734375" customWidth="1"/>
    <col min="5646" max="5646" width="10.22265625" customWidth="1"/>
    <col min="5647" max="5647" width="9.01171875" bestFit="1" customWidth="1"/>
    <col min="5648" max="5648" width="8.875" bestFit="1" customWidth="1"/>
    <col min="5651" max="5651" width="33.08984375" bestFit="1" customWidth="1"/>
    <col min="5652" max="5652" width="11.8359375" bestFit="1" customWidth="1"/>
    <col min="5653" max="5653" width="15.6015625" bestFit="1" customWidth="1"/>
    <col min="5654" max="5654" width="27.171875" bestFit="1" customWidth="1"/>
    <col min="5884" max="5884" width="6.1875" bestFit="1" customWidth="1"/>
    <col min="5885" max="5885" width="3.09375" customWidth="1"/>
    <col min="5886" max="5886" width="11.43359375" customWidth="1"/>
    <col min="5887" max="5887" width="10.22265625" bestFit="1" customWidth="1"/>
    <col min="5888" max="5888" width="37.26171875" customWidth="1"/>
    <col min="5889" max="5889" width="3.2265625" bestFit="1" customWidth="1"/>
    <col min="5890" max="5890" width="6.72265625" customWidth="1"/>
    <col min="5891" max="5891" width="7.12890625" customWidth="1"/>
    <col min="5892" max="5892" width="8.609375" customWidth="1"/>
    <col min="5893" max="5893" width="7.26171875" customWidth="1"/>
    <col min="5894" max="5894" width="11.703125" customWidth="1"/>
    <col min="5895" max="5895" width="8.7421875" bestFit="1" customWidth="1"/>
    <col min="5896" max="5896" width="7.93359375" customWidth="1"/>
    <col min="5897" max="5897" width="8.7421875" bestFit="1" customWidth="1"/>
    <col min="5898" max="5898" width="8.875" bestFit="1" customWidth="1"/>
    <col min="5899" max="5899" width="7.12890625" customWidth="1"/>
    <col min="5900" max="5901" width="11.02734375" customWidth="1"/>
    <col min="5902" max="5902" width="10.22265625" customWidth="1"/>
    <col min="5903" max="5903" width="9.01171875" bestFit="1" customWidth="1"/>
    <col min="5904" max="5904" width="8.875" bestFit="1" customWidth="1"/>
    <col min="5907" max="5907" width="33.08984375" bestFit="1" customWidth="1"/>
    <col min="5908" max="5908" width="11.8359375" bestFit="1" customWidth="1"/>
    <col min="5909" max="5909" width="15.6015625" bestFit="1" customWidth="1"/>
    <col min="5910" max="5910" width="27.171875" bestFit="1" customWidth="1"/>
    <col min="6140" max="6140" width="6.1875" bestFit="1" customWidth="1"/>
    <col min="6141" max="6141" width="3.09375" customWidth="1"/>
    <col min="6142" max="6142" width="11.43359375" customWidth="1"/>
    <col min="6143" max="6143" width="10.22265625" bestFit="1" customWidth="1"/>
    <col min="6144" max="6144" width="37.26171875" customWidth="1"/>
    <col min="6145" max="6145" width="3.2265625" bestFit="1" customWidth="1"/>
    <col min="6146" max="6146" width="6.72265625" customWidth="1"/>
    <col min="6147" max="6147" width="7.12890625" customWidth="1"/>
    <col min="6148" max="6148" width="8.609375" customWidth="1"/>
    <col min="6149" max="6149" width="7.26171875" customWidth="1"/>
    <col min="6150" max="6150" width="11.703125" customWidth="1"/>
    <col min="6151" max="6151" width="8.7421875" bestFit="1" customWidth="1"/>
    <col min="6152" max="6152" width="7.93359375" customWidth="1"/>
    <col min="6153" max="6153" width="8.7421875" bestFit="1" customWidth="1"/>
    <col min="6154" max="6154" width="8.875" bestFit="1" customWidth="1"/>
    <col min="6155" max="6155" width="7.12890625" customWidth="1"/>
    <col min="6156" max="6157" width="11.02734375" customWidth="1"/>
    <col min="6158" max="6158" width="10.22265625" customWidth="1"/>
    <col min="6159" max="6159" width="9.01171875" bestFit="1" customWidth="1"/>
    <col min="6160" max="6160" width="8.875" bestFit="1" customWidth="1"/>
    <col min="6163" max="6163" width="33.08984375" bestFit="1" customWidth="1"/>
    <col min="6164" max="6164" width="11.8359375" bestFit="1" customWidth="1"/>
    <col min="6165" max="6165" width="15.6015625" bestFit="1" customWidth="1"/>
    <col min="6166" max="6166" width="27.171875" bestFit="1" customWidth="1"/>
    <col min="6396" max="6396" width="6.1875" bestFit="1" customWidth="1"/>
    <col min="6397" max="6397" width="3.09375" customWidth="1"/>
    <col min="6398" max="6398" width="11.43359375" customWidth="1"/>
    <col min="6399" max="6399" width="10.22265625" bestFit="1" customWidth="1"/>
    <col min="6400" max="6400" width="37.26171875" customWidth="1"/>
    <col min="6401" max="6401" width="3.2265625" bestFit="1" customWidth="1"/>
    <col min="6402" max="6402" width="6.72265625" customWidth="1"/>
    <col min="6403" max="6403" width="7.12890625" customWidth="1"/>
    <col min="6404" max="6404" width="8.609375" customWidth="1"/>
    <col min="6405" max="6405" width="7.26171875" customWidth="1"/>
    <col min="6406" max="6406" width="11.703125" customWidth="1"/>
    <col min="6407" max="6407" width="8.7421875" bestFit="1" customWidth="1"/>
    <col min="6408" max="6408" width="7.93359375" customWidth="1"/>
    <col min="6409" max="6409" width="8.7421875" bestFit="1" customWidth="1"/>
    <col min="6410" max="6410" width="8.875" bestFit="1" customWidth="1"/>
    <col min="6411" max="6411" width="7.12890625" customWidth="1"/>
    <col min="6412" max="6413" width="11.02734375" customWidth="1"/>
    <col min="6414" max="6414" width="10.22265625" customWidth="1"/>
    <col min="6415" max="6415" width="9.01171875" bestFit="1" customWidth="1"/>
    <col min="6416" max="6416" width="8.875" bestFit="1" customWidth="1"/>
    <col min="6419" max="6419" width="33.08984375" bestFit="1" customWidth="1"/>
    <col min="6420" max="6420" width="11.8359375" bestFit="1" customWidth="1"/>
    <col min="6421" max="6421" width="15.6015625" bestFit="1" customWidth="1"/>
    <col min="6422" max="6422" width="27.171875" bestFit="1" customWidth="1"/>
    <col min="6652" max="6652" width="6.1875" bestFit="1" customWidth="1"/>
    <col min="6653" max="6653" width="3.09375" customWidth="1"/>
    <col min="6654" max="6654" width="11.43359375" customWidth="1"/>
    <col min="6655" max="6655" width="10.22265625" bestFit="1" customWidth="1"/>
    <col min="6656" max="6656" width="37.26171875" customWidth="1"/>
    <col min="6657" max="6657" width="3.2265625" bestFit="1" customWidth="1"/>
    <col min="6658" max="6658" width="6.72265625" customWidth="1"/>
    <col min="6659" max="6659" width="7.12890625" customWidth="1"/>
    <col min="6660" max="6660" width="8.609375" customWidth="1"/>
    <col min="6661" max="6661" width="7.26171875" customWidth="1"/>
    <col min="6662" max="6662" width="11.703125" customWidth="1"/>
    <col min="6663" max="6663" width="8.7421875" bestFit="1" customWidth="1"/>
    <col min="6664" max="6664" width="7.93359375" customWidth="1"/>
    <col min="6665" max="6665" width="8.7421875" bestFit="1" customWidth="1"/>
    <col min="6666" max="6666" width="8.875" bestFit="1" customWidth="1"/>
    <col min="6667" max="6667" width="7.12890625" customWidth="1"/>
    <col min="6668" max="6669" width="11.02734375" customWidth="1"/>
    <col min="6670" max="6670" width="10.22265625" customWidth="1"/>
    <col min="6671" max="6671" width="9.01171875" bestFit="1" customWidth="1"/>
    <col min="6672" max="6672" width="8.875" bestFit="1" customWidth="1"/>
    <col min="6675" max="6675" width="33.08984375" bestFit="1" customWidth="1"/>
    <col min="6676" max="6676" width="11.8359375" bestFit="1" customWidth="1"/>
    <col min="6677" max="6677" width="15.6015625" bestFit="1" customWidth="1"/>
    <col min="6678" max="6678" width="27.171875" bestFit="1" customWidth="1"/>
    <col min="6908" max="6908" width="6.1875" bestFit="1" customWidth="1"/>
    <col min="6909" max="6909" width="3.09375" customWidth="1"/>
    <col min="6910" max="6910" width="11.43359375" customWidth="1"/>
    <col min="6911" max="6911" width="10.22265625" bestFit="1" customWidth="1"/>
    <col min="6912" max="6912" width="37.26171875" customWidth="1"/>
    <col min="6913" max="6913" width="3.2265625" bestFit="1" customWidth="1"/>
    <col min="6914" max="6914" width="6.72265625" customWidth="1"/>
    <col min="6915" max="6915" width="7.12890625" customWidth="1"/>
    <col min="6916" max="6916" width="8.609375" customWidth="1"/>
    <col min="6917" max="6917" width="7.26171875" customWidth="1"/>
    <col min="6918" max="6918" width="11.703125" customWidth="1"/>
    <col min="6919" max="6919" width="8.7421875" bestFit="1" customWidth="1"/>
    <col min="6920" max="6920" width="7.93359375" customWidth="1"/>
    <col min="6921" max="6921" width="8.7421875" bestFit="1" customWidth="1"/>
    <col min="6922" max="6922" width="8.875" bestFit="1" customWidth="1"/>
    <col min="6923" max="6923" width="7.12890625" customWidth="1"/>
    <col min="6924" max="6925" width="11.02734375" customWidth="1"/>
    <col min="6926" max="6926" width="10.22265625" customWidth="1"/>
    <col min="6927" max="6927" width="9.01171875" bestFit="1" customWidth="1"/>
    <col min="6928" max="6928" width="8.875" bestFit="1" customWidth="1"/>
    <col min="6931" max="6931" width="33.08984375" bestFit="1" customWidth="1"/>
    <col min="6932" max="6932" width="11.8359375" bestFit="1" customWidth="1"/>
    <col min="6933" max="6933" width="15.6015625" bestFit="1" customWidth="1"/>
    <col min="6934" max="6934" width="27.171875" bestFit="1" customWidth="1"/>
    <col min="7164" max="7164" width="6.1875" bestFit="1" customWidth="1"/>
    <col min="7165" max="7165" width="3.09375" customWidth="1"/>
    <col min="7166" max="7166" width="11.43359375" customWidth="1"/>
    <col min="7167" max="7167" width="10.22265625" bestFit="1" customWidth="1"/>
    <col min="7168" max="7168" width="37.26171875" customWidth="1"/>
    <col min="7169" max="7169" width="3.2265625" bestFit="1" customWidth="1"/>
    <col min="7170" max="7170" width="6.72265625" customWidth="1"/>
    <col min="7171" max="7171" width="7.12890625" customWidth="1"/>
    <col min="7172" max="7172" width="8.609375" customWidth="1"/>
    <col min="7173" max="7173" width="7.26171875" customWidth="1"/>
    <col min="7174" max="7174" width="11.703125" customWidth="1"/>
    <col min="7175" max="7175" width="8.7421875" bestFit="1" customWidth="1"/>
    <col min="7176" max="7176" width="7.93359375" customWidth="1"/>
    <col min="7177" max="7177" width="8.7421875" bestFit="1" customWidth="1"/>
    <col min="7178" max="7178" width="8.875" bestFit="1" customWidth="1"/>
    <col min="7179" max="7179" width="7.12890625" customWidth="1"/>
    <col min="7180" max="7181" width="11.02734375" customWidth="1"/>
    <col min="7182" max="7182" width="10.22265625" customWidth="1"/>
    <col min="7183" max="7183" width="9.01171875" bestFit="1" customWidth="1"/>
    <col min="7184" max="7184" width="8.875" bestFit="1" customWidth="1"/>
    <col min="7187" max="7187" width="33.08984375" bestFit="1" customWidth="1"/>
    <col min="7188" max="7188" width="11.8359375" bestFit="1" customWidth="1"/>
    <col min="7189" max="7189" width="15.6015625" bestFit="1" customWidth="1"/>
    <col min="7190" max="7190" width="27.171875" bestFit="1" customWidth="1"/>
    <col min="7420" max="7420" width="6.1875" bestFit="1" customWidth="1"/>
    <col min="7421" max="7421" width="3.09375" customWidth="1"/>
    <col min="7422" max="7422" width="11.43359375" customWidth="1"/>
    <col min="7423" max="7423" width="10.22265625" bestFit="1" customWidth="1"/>
    <col min="7424" max="7424" width="37.26171875" customWidth="1"/>
    <col min="7425" max="7425" width="3.2265625" bestFit="1" customWidth="1"/>
    <col min="7426" max="7426" width="6.72265625" customWidth="1"/>
    <col min="7427" max="7427" width="7.12890625" customWidth="1"/>
    <col min="7428" max="7428" width="8.609375" customWidth="1"/>
    <col min="7429" max="7429" width="7.26171875" customWidth="1"/>
    <col min="7430" max="7430" width="11.703125" customWidth="1"/>
    <col min="7431" max="7431" width="8.7421875" bestFit="1" customWidth="1"/>
    <col min="7432" max="7432" width="7.93359375" customWidth="1"/>
    <col min="7433" max="7433" width="8.7421875" bestFit="1" customWidth="1"/>
    <col min="7434" max="7434" width="8.875" bestFit="1" customWidth="1"/>
    <col min="7435" max="7435" width="7.12890625" customWidth="1"/>
    <col min="7436" max="7437" width="11.02734375" customWidth="1"/>
    <col min="7438" max="7438" width="10.22265625" customWidth="1"/>
    <col min="7439" max="7439" width="9.01171875" bestFit="1" customWidth="1"/>
    <col min="7440" max="7440" width="8.875" bestFit="1" customWidth="1"/>
    <col min="7443" max="7443" width="33.08984375" bestFit="1" customWidth="1"/>
    <col min="7444" max="7444" width="11.8359375" bestFit="1" customWidth="1"/>
    <col min="7445" max="7445" width="15.6015625" bestFit="1" customWidth="1"/>
    <col min="7446" max="7446" width="27.171875" bestFit="1" customWidth="1"/>
    <col min="7676" max="7676" width="6.1875" bestFit="1" customWidth="1"/>
    <col min="7677" max="7677" width="3.09375" customWidth="1"/>
    <col min="7678" max="7678" width="11.43359375" customWidth="1"/>
    <col min="7679" max="7679" width="10.22265625" bestFit="1" customWidth="1"/>
    <col min="7680" max="7680" width="37.26171875" customWidth="1"/>
    <col min="7681" max="7681" width="3.2265625" bestFit="1" customWidth="1"/>
    <col min="7682" max="7682" width="6.72265625" customWidth="1"/>
    <col min="7683" max="7683" width="7.12890625" customWidth="1"/>
    <col min="7684" max="7684" width="8.609375" customWidth="1"/>
    <col min="7685" max="7685" width="7.26171875" customWidth="1"/>
    <col min="7686" max="7686" width="11.703125" customWidth="1"/>
    <col min="7687" max="7687" width="8.7421875" bestFit="1" customWidth="1"/>
    <col min="7688" max="7688" width="7.93359375" customWidth="1"/>
    <col min="7689" max="7689" width="8.7421875" bestFit="1" customWidth="1"/>
    <col min="7690" max="7690" width="8.875" bestFit="1" customWidth="1"/>
    <col min="7691" max="7691" width="7.12890625" customWidth="1"/>
    <col min="7692" max="7693" width="11.02734375" customWidth="1"/>
    <col min="7694" max="7694" width="10.22265625" customWidth="1"/>
    <col min="7695" max="7695" width="9.01171875" bestFit="1" customWidth="1"/>
    <col min="7696" max="7696" width="8.875" bestFit="1" customWidth="1"/>
    <col min="7699" max="7699" width="33.08984375" bestFit="1" customWidth="1"/>
    <col min="7700" max="7700" width="11.8359375" bestFit="1" customWidth="1"/>
    <col min="7701" max="7701" width="15.6015625" bestFit="1" customWidth="1"/>
    <col min="7702" max="7702" width="27.171875" bestFit="1" customWidth="1"/>
    <col min="7932" max="7932" width="6.1875" bestFit="1" customWidth="1"/>
    <col min="7933" max="7933" width="3.09375" customWidth="1"/>
    <col min="7934" max="7934" width="11.43359375" customWidth="1"/>
    <col min="7935" max="7935" width="10.22265625" bestFit="1" customWidth="1"/>
    <col min="7936" max="7936" width="37.26171875" customWidth="1"/>
    <col min="7937" max="7937" width="3.2265625" bestFit="1" customWidth="1"/>
    <col min="7938" max="7938" width="6.72265625" customWidth="1"/>
    <col min="7939" max="7939" width="7.12890625" customWidth="1"/>
    <col min="7940" max="7940" width="8.609375" customWidth="1"/>
    <col min="7941" max="7941" width="7.26171875" customWidth="1"/>
    <col min="7942" max="7942" width="11.703125" customWidth="1"/>
    <col min="7943" max="7943" width="8.7421875" bestFit="1" customWidth="1"/>
    <col min="7944" max="7944" width="7.93359375" customWidth="1"/>
    <col min="7945" max="7945" width="8.7421875" bestFit="1" customWidth="1"/>
    <col min="7946" max="7946" width="8.875" bestFit="1" customWidth="1"/>
    <col min="7947" max="7947" width="7.12890625" customWidth="1"/>
    <col min="7948" max="7949" width="11.02734375" customWidth="1"/>
    <col min="7950" max="7950" width="10.22265625" customWidth="1"/>
    <col min="7951" max="7951" width="9.01171875" bestFit="1" customWidth="1"/>
    <col min="7952" max="7952" width="8.875" bestFit="1" customWidth="1"/>
    <col min="7955" max="7955" width="33.08984375" bestFit="1" customWidth="1"/>
    <col min="7956" max="7956" width="11.8359375" bestFit="1" customWidth="1"/>
    <col min="7957" max="7957" width="15.6015625" bestFit="1" customWidth="1"/>
    <col min="7958" max="7958" width="27.171875" bestFit="1" customWidth="1"/>
    <col min="8188" max="8188" width="6.1875" bestFit="1" customWidth="1"/>
    <col min="8189" max="8189" width="3.09375" customWidth="1"/>
    <col min="8190" max="8190" width="11.43359375" customWidth="1"/>
    <col min="8191" max="8191" width="10.22265625" bestFit="1" customWidth="1"/>
    <col min="8192" max="8192" width="37.26171875" customWidth="1"/>
    <col min="8193" max="8193" width="3.2265625" bestFit="1" customWidth="1"/>
    <col min="8194" max="8194" width="6.72265625" customWidth="1"/>
    <col min="8195" max="8195" width="7.12890625" customWidth="1"/>
    <col min="8196" max="8196" width="8.609375" customWidth="1"/>
    <col min="8197" max="8197" width="7.26171875" customWidth="1"/>
    <col min="8198" max="8198" width="11.703125" customWidth="1"/>
    <col min="8199" max="8199" width="8.7421875" bestFit="1" customWidth="1"/>
    <col min="8200" max="8200" width="7.93359375" customWidth="1"/>
    <col min="8201" max="8201" width="8.7421875" bestFit="1" customWidth="1"/>
    <col min="8202" max="8202" width="8.875" bestFit="1" customWidth="1"/>
    <col min="8203" max="8203" width="7.12890625" customWidth="1"/>
    <col min="8204" max="8205" width="11.02734375" customWidth="1"/>
    <col min="8206" max="8206" width="10.22265625" customWidth="1"/>
    <col min="8207" max="8207" width="9.01171875" bestFit="1" customWidth="1"/>
    <col min="8208" max="8208" width="8.875" bestFit="1" customWidth="1"/>
    <col min="8211" max="8211" width="33.08984375" bestFit="1" customWidth="1"/>
    <col min="8212" max="8212" width="11.8359375" bestFit="1" customWidth="1"/>
    <col min="8213" max="8213" width="15.6015625" bestFit="1" customWidth="1"/>
    <col min="8214" max="8214" width="27.171875" bestFit="1" customWidth="1"/>
    <col min="8444" max="8444" width="6.1875" bestFit="1" customWidth="1"/>
    <col min="8445" max="8445" width="3.09375" customWidth="1"/>
    <col min="8446" max="8446" width="11.43359375" customWidth="1"/>
    <col min="8447" max="8447" width="10.22265625" bestFit="1" customWidth="1"/>
    <col min="8448" max="8448" width="37.26171875" customWidth="1"/>
    <col min="8449" max="8449" width="3.2265625" bestFit="1" customWidth="1"/>
    <col min="8450" max="8450" width="6.72265625" customWidth="1"/>
    <col min="8451" max="8451" width="7.12890625" customWidth="1"/>
    <col min="8452" max="8452" width="8.609375" customWidth="1"/>
    <col min="8453" max="8453" width="7.26171875" customWidth="1"/>
    <col min="8454" max="8454" width="11.703125" customWidth="1"/>
    <col min="8455" max="8455" width="8.7421875" bestFit="1" customWidth="1"/>
    <col min="8456" max="8456" width="7.93359375" customWidth="1"/>
    <col min="8457" max="8457" width="8.7421875" bestFit="1" customWidth="1"/>
    <col min="8458" max="8458" width="8.875" bestFit="1" customWidth="1"/>
    <col min="8459" max="8459" width="7.12890625" customWidth="1"/>
    <col min="8460" max="8461" width="11.02734375" customWidth="1"/>
    <col min="8462" max="8462" width="10.22265625" customWidth="1"/>
    <col min="8463" max="8463" width="9.01171875" bestFit="1" customWidth="1"/>
    <col min="8464" max="8464" width="8.875" bestFit="1" customWidth="1"/>
    <col min="8467" max="8467" width="33.08984375" bestFit="1" customWidth="1"/>
    <col min="8468" max="8468" width="11.8359375" bestFit="1" customWidth="1"/>
    <col min="8469" max="8469" width="15.6015625" bestFit="1" customWidth="1"/>
    <col min="8470" max="8470" width="27.171875" bestFit="1" customWidth="1"/>
    <col min="8700" max="8700" width="6.1875" bestFit="1" customWidth="1"/>
    <col min="8701" max="8701" width="3.09375" customWidth="1"/>
    <col min="8702" max="8702" width="11.43359375" customWidth="1"/>
    <col min="8703" max="8703" width="10.22265625" bestFit="1" customWidth="1"/>
    <col min="8704" max="8704" width="37.26171875" customWidth="1"/>
    <col min="8705" max="8705" width="3.2265625" bestFit="1" customWidth="1"/>
    <col min="8706" max="8706" width="6.72265625" customWidth="1"/>
    <col min="8707" max="8707" width="7.12890625" customWidth="1"/>
    <col min="8708" max="8708" width="8.609375" customWidth="1"/>
    <col min="8709" max="8709" width="7.26171875" customWidth="1"/>
    <col min="8710" max="8710" width="11.703125" customWidth="1"/>
    <col min="8711" max="8711" width="8.7421875" bestFit="1" customWidth="1"/>
    <col min="8712" max="8712" width="7.93359375" customWidth="1"/>
    <col min="8713" max="8713" width="8.7421875" bestFit="1" customWidth="1"/>
    <col min="8714" max="8714" width="8.875" bestFit="1" customWidth="1"/>
    <col min="8715" max="8715" width="7.12890625" customWidth="1"/>
    <col min="8716" max="8717" width="11.02734375" customWidth="1"/>
    <col min="8718" max="8718" width="10.22265625" customWidth="1"/>
    <col min="8719" max="8719" width="9.01171875" bestFit="1" customWidth="1"/>
    <col min="8720" max="8720" width="8.875" bestFit="1" customWidth="1"/>
    <col min="8723" max="8723" width="33.08984375" bestFit="1" customWidth="1"/>
    <col min="8724" max="8724" width="11.8359375" bestFit="1" customWidth="1"/>
    <col min="8725" max="8725" width="15.6015625" bestFit="1" customWidth="1"/>
    <col min="8726" max="8726" width="27.171875" bestFit="1" customWidth="1"/>
    <col min="8956" max="8956" width="6.1875" bestFit="1" customWidth="1"/>
    <col min="8957" max="8957" width="3.09375" customWidth="1"/>
    <col min="8958" max="8958" width="11.43359375" customWidth="1"/>
    <col min="8959" max="8959" width="10.22265625" bestFit="1" customWidth="1"/>
    <col min="8960" max="8960" width="37.26171875" customWidth="1"/>
    <col min="8961" max="8961" width="3.2265625" bestFit="1" customWidth="1"/>
    <col min="8962" max="8962" width="6.72265625" customWidth="1"/>
    <col min="8963" max="8963" width="7.12890625" customWidth="1"/>
    <col min="8964" max="8964" width="8.609375" customWidth="1"/>
    <col min="8965" max="8965" width="7.26171875" customWidth="1"/>
    <col min="8966" max="8966" width="11.703125" customWidth="1"/>
    <col min="8967" max="8967" width="8.7421875" bestFit="1" customWidth="1"/>
    <col min="8968" max="8968" width="7.93359375" customWidth="1"/>
    <col min="8969" max="8969" width="8.7421875" bestFit="1" customWidth="1"/>
    <col min="8970" max="8970" width="8.875" bestFit="1" customWidth="1"/>
    <col min="8971" max="8971" width="7.12890625" customWidth="1"/>
    <col min="8972" max="8973" width="11.02734375" customWidth="1"/>
    <col min="8974" max="8974" width="10.22265625" customWidth="1"/>
    <col min="8975" max="8975" width="9.01171875" bestFit="1" customWidth="1"/>
    <col min="8976" max="8976" width="8.875" bestFit="1" customWidth="1"/>
    <col min="8979" max="8979" width="33.08984375" bestFit="1" customWidth="1"/>
    <col min="8980" max="8980" width="11.8359375" bestFit="1" customWidth="1"/>
    <col min="8981" max="8981" width="15.6015625" bestFit="1" customWidth="1"/>
    <col min="8982" max="8982" width="27.171875" bestFit="1" customWidth="1"/>
    <col min="9212" max="9212" width="6.1875" bestFit="1" customWidth="1"/>
    <col min="9213" max="9213" width="3.09375" customWidth="1"/>
    <col min="9214" max="9214" width="11.43359375" customWidth="1"/>
    <col min="9215" max="9215" width="10.22265625" bestFit="1" customWidth="1"/>
    <col min="9216" max="9216" width="37.26171875" customWidth="1"/>
    <col min="9217" max="9217" width="3.2265625" bestFit="1" customWidth="1"/>
    <col min="9218" max="9218" width="6.72265625" customWidth="1"/>
    <col min="9219" max="9219" width="7.12890625" customWidth="1"/>
    <col min="9220" max="9220" width="8.609375" customWidth="1"/>
    <col min="9221" max="9221" width="7.26171875" customWidth="1"/>
    <col min="9222" max="9222" width="11.703125" customWidth="1"/>
    <col min="9223" max="9223" width="8.7421875" bestFit="1" customWidth="1"/>
    <col min="9224" max="9224" width="7.93359375" customWidth="1"/>
    <col min="9225" max="9225" width="8.7421875" bestFit="1" customWidth="1"/>
    <col min="9226" max="9226" width="8.875" bestFit="1" customWidth="1"/>
    <col min="9227" max="9227" width="7.12890625" customWidth="1"/>
    <col min="9228" max="9229" width="11.02734375" customWidth="1"/>
    <col min="9230" max="9230" width="10.22265625" customWidth="1"/>
    <col min="9231" max="9231" width="9.01171875" bestFit="1" customWidth="1"/>
    <col min="9232" max="9232" width="8.875" bestFit="1" customWidth="1"/>
    <col min="9235" max="9235" width="33.08984375" bestFit="1" customWidth="1"/>
    <col min="9236" max="9236" width="11.8359375" bestFit="1" customWidth="1"/>
    <col min="9237" max="9237" width="15.6015625" bestFit="1" customWidth="1"/>
    <col min="9238" max="9238" width="27.171875" bestFit="1" customWidth="1"/>
    <col min="9468" max="9468" width="6.1875" bestFit="1" customWidth="1"/>
    <col min="9469" max="9469" width="3.09375" customWidth="1"/>
    <col min="9470" max="9470" width="11.43359375" customWidth="1"/>
    <col min="9471" max="9471" width="10.22265625" bestFit="1" customWidth="1"/>
    <col min="9472" max="9472" width="37.26171875" customWidth="1"/>
    <col min="9473" max="9473" width="3.2265625" bestFit="1" customWidth="1"/>
    <col min="9474" max="9474" width="6.72265625" customWidth="1"/>
    <col min="9475" max="9475" width="7.12890625" customWidth="1"/>
    <col min="9476" max="9476" width="8.609375" customWidth="1"/>
    <col min="9477" max="9477" width="7.26171875" customWidth="1"/>
    <col min="9478" max="9478" width="11.703125" customWidth="1"/>
    <col min="9479" max="9479" width="8.7421875" bestFit="1" customWidth="1"/>
    <col min="9480" max="9480" width="7.93359375" customWidth="1"/>
    <col min="9481" max="9481" width="8.7421875" bestFit="1" customWidth="1"/>
    <col min="9482" max="9482" width="8.875" bestFit="1" customWidth="1"/>
    <col min="9483" max="9483" width="7.12890625" customWidth="1"/>
    <col min="9484" max="9485" width="11.02734375" customWidth="1"/>
    <col min="9486" max="9486" width="10.22265625" customWidth="1"/>
    <col min="9487" max="9487" width="9.01171875" bestFit="1" customWidth="1"/>
    <col min="9488" max="9488" width="8.875" bestFit="1" customWidth="1"/>
    <col min="9491" max="9491" width="33.08984375" bestFit="1" customWidth="1"/>
    <col min="9492" max="9492" width="11.8359375" bestFit="1" customWidth="1"/>
    <col min="9493" max="9493" width="15.6015625" bestFit="1" customWidth="1"/>
    <col min="9494" max="9494" width="27.171875" bestFit="1" customWidth="1"/>
    <col min="9724" max="9724" width="6.1875" bestFit="1" customWidth="1"/>
    <col min="9725" max="9725" width="3.09375" customWidth="1"/>
    <col min="9726" max="9726" width="11.43359375" customWidth="1"/>
    <col min="9727" max="9727" width="10.22265625" bestFit="1" customWidth="1"/>
    <col min="9728" max="9728" width="37.26171875" customWidth="1"/>
    <col min="9729" max="9729" width="3.2265625" bestFit="1" customWidth="1"/>
    <col min="9730" max="9730" width="6.72265625" customWidth="1"/>
    <col min="9731" max="9731" width="7.12890625" customWidth="1"/>
    <col min="9732" max="9732" width="8.609375" customWidth="1"/>
    <col min="9733" max="9733" width="7.26171875" customWidth="1"/>
    <col min="9734" max="9734" width="11.703125" customWidth="1"/>
    <col min="9735" max="9735" width="8.7421875" bestFit="1" customWidth="1"/>
    <col min="9736" max="9736" width="7.93359375" customWidth="1"/>
    <col min="9737" max="9737" width="8.7421875" bestFit="1" customWidth="1"/>
    <col min="9738" max="9738" width="8.875" bestFit="1" customWidth="1"/>
    <col min="9739" max="9739" width="7.12890625" customWidth="1"/>
    <col min="9740" max="9741" width="11.02734375" customWidth="1"/>
    <col min="9742" max="9742" width="10.22265625" customWidth="1"/>
    <col min="9743" max="9743" width="9.01171875" bestFit="1" customWidth="1"/>
    <col min="9744" max="9744" width="8.875" bestFit="1" customWidth="1"/>
    <col min="9747" max="9747" width="33.08984375" bestFit="1" customWidth="1"/>
    <col min="9748" max="9748" width="11.8359375" bestFit="1" customWidth="1"/>
    <col min="9749" max="9749" width="15.6015625" bestFit="1" customWidth="1"/>
    <col min="9750" max="9750" width="27.171875" bestFit="1" customWidth="1"/>
    <col min="9980" max="9980" width="6.1875" bestFit="1" customWidth="1"/>
    <col min="9981" max="9981" width="3.09375" customWidth="1"/>
    <col min="9982" max="9982" width="11.43359375" customWidth="1"/>
    <col min="9983" max="9983" width="10.22265625" bestFit="1" customWidth="1"/>
    <col min="9984" max="9984" width="37.26171875" customWidth="1"/>
    <col min="9985" max="9985" width="3.2265625" bestFit="1" customWidth="1"/>
    <col min="9986" max="9986" width="6.72265625" customWidth="1"/>
    <col min="9987" max="9987" width="7.12890625" customWidth="1"/>
    <col min="9988" max="9988" width="8.609375" customWidth="1"/>
    <col min="9989" max="9989" width="7.26171875" customWidth="1"/>
    <col min="9990" max="9990" width="11.703125" customWidth="1"/>
    <col min="9991" max="9991" width="8.7421875" bestFit="1" customWidth="1"/>
    <col min="9992" max="9992" width="7.93359375" customWidth="1"/>
    <col min="9993" max="9993" width="8.7421875" bestFit="1" customWidth="1"/>
    <col min="9994" max="9994" width="8.875" bestFit="1" customWidth="1"/>
    <col min="9995" max="9995" width="7.12890625" customWidth="1"/>
    <col min="9996" max="9997" width="11.02734375" customWidth="1"/>
    <col min="9998" max="9998" width="10.22265625" customWidth="1"/>
    <col min="9999" max="9999" width="9.01171875" bestFit="1" customWidth="1"/>
    <col min="10000" max="10000" width="8.875" bestFit="1" customWidth="1"/>
    <col min="10003" max="10003" width="33.08984375" bestFit="1" customWidth="1"/>
    <col min="10004" max="10004" width="11.8359375" bestFit="1" customWidth="1"/>
    <col min="10005" max="10005" width="15.6015625" bestFit="1" customWidth="1"/>
    <col min="10006" max="10006" width="27.171875" bestFit="1" customWidth="1"/>
    <col min="10236" max="10236" width="6.1875" bestFit="1" customWidth="1"/>
    <col min="10237" max="10237" width="3.09375" customWidth="1"/>
    <col min="10238" max="10238" width="11.43359375" customWidth="1"/>
    <col min="10239" max="10239" width="10.22265625" bestFit="1" customWidth="1"/>
    <col min="10240" max="10240" width="37.26171875" customWidth="1"/>
    <col min="10241" max="10241" width="3.2265625" bestFit="1" customWidth="1"/>
    <col min="10242" max="10242" width="6.72265625" customWidth="1"/>
    <col min="10243" max="10243" width="7.12890625" customWidth="1"/>
    <col min="10244" max="10244" width="8.609375" customWidth="1"/>
    <col min="10245" max="10245" width="7.26171875" customWidth="1"/>
    <col min="10246" max="10246" width="11.703125" customWidth="1"/>
    <col min="10247" max="10247" width="8.7421875" bestFit="1" customWidth="1"/>
    <col min="10248" max="10248" width="7.93359375" customWidth="1"/>
    <col min="10249" max="10249" width="8.7421875" bestFit="1" customWidth="1"/>
    <col min="10250" max="10250" width="8.875" bestFit="1" customWidth="1"/>
    <col min="10251" max="10251" width="7.12890625" customWidth="1"/>
    <col min="10252" max="10253" width="11.02734375" customWidth="1"/>
    <col min="10254" max="10254" width="10.22265625" customWidth="1"/>
    <col min="10255" max="10255" width="9.01171875" bestFit="1" customWidth="1"/>
    <col min="10256" max="10256" width="8.875" bestFit="1" customWidth="1"/>
    <col min="10259" max="10259" width="33.08984375" bestFit="1" customWidth="1"/>
    <col min="10260" max="10260" width="11.8359375" bestFit="1" customWidth="1"/>
    <col min="10261" max="10261" width="15.6015625" bestFit="1" customWidth="1"/>
    <col min="10262" max="10262" width="27.171875" bestFit="1" customWidth="1"/>
    <col min="10492" max="10492" width="6.1875" bestFit="1" customWidth="1"/>
    <col min="10493" max="10493" width="3.09375" customWidth="1"/>
    <col min="10494" max="10494" width="11.43359375" customWidth="1"/>
    <col min="10495" max="10495" width="10.22265625" bestFit="1" customWidth="1"/>
    <col min="10496" max="10496" width="37.26171875" customWidth="1"/>
    <col min="10497" max="10497" width="3.2265625" bestFit="1" customWidth="1"/>
    <col min="10498" max="10498" width="6.72265625" customWidth="1"/>
    <col min="10499" max="10499" width="7.12890625" customWidth="1"/>
    <col min="10500" max="10500" width="8.609375" customWidth="1"/>
    <col min="10501" max="10501" width="7.26171875" customWidth="1"/>
    <col min="10502" max="10502" width="11.703125" customWidth="1"/>
    <col min="10503" max="10503" width="8.7421875" bestFit="1" customWidth="1"/>
    <col min="10504" max="10504" width="7.93359375" customWidth="1"/>
    <col min="10505" max="10505" width="8.7421875" bestFit="1" customWidth="1"/>
    <col min="10506" max="10506" width="8.875" bestFit="1" customWidth="1"/>
    <col min="10507" max="10507" width="7.12890625" customWidth="1"/>
    <col min="10508" max="10509" width="11.02734375" customWidth="1"/>
    <col min="10510" max="10510" width="10.22265625" customWidth="1"/>
    <col min="10511" max="10511" width="9.01171875" bestFit="1" customWidth="1"/>
    <col min="10512" max="10512" width="8.875" bestFit="1" customWidth="1"/>
    <col min="10515" max="10515" width="33.08984375" bestFit="1" customWidth="1"/>
    <col min="10516" max="10516" width="11.8359375" bestFit="1" customWidth="1"/>
    <col min="10517" max="10517" width="15.6015625" bestFit="1" customWidth="1"/>
    <col min="10518" max="10518" width="27.171875" bestFit="1" customWidth="1"/>
    <col min="10748" max="10748" width="6.1875" bestFit="1" customWidth="1"/>
    <col min="10749" max="10749" width="3.09375" customWidth="1"/>
    <col min="10750" max="10750" width="11.43359375" customWidth="1"/>
    <col min="10751" max="10751" width="10.22265625" bestFit="1" customWidth="1"/>
    <col min="10752" max="10752" width="37.26171875" customWidth="1"/>
    <col min="10753" max="10753" width="3.2265625" bestFit="1" customWidth="1"/>
    <col min="10754" max="10754" width="6.72265625" customWidth="1"/>
    <col min="10755" max="10755" width="7.12890625" customWidth="1"/>
    <col min="10756" max="10756" width="8.609375" customWidth="1"/>
    <col min="10757" max="10757" width="7.26171875" customWidth="1"/>
    <col min="10758" max="10758" width="11.703125" customWidth="1"/>
    <col min="10759" max="10759" width="8.7421875" bestFit="1" customWidth="1"/>
    <col min="10760" max="10760" width="7.93359375" customWidth="1"/>
    <col min="10761" max="10761" width="8.7421875" bestFit="1" customWidth="1"/>
    <col min="10762" max="10762" width="8.875" bestFit="1" customWidth="1"/>
    <col min="10763" max="10763" width="7.12890625" customWidth="1"/>
    <col min="10764" max="10765" width="11.02734375" customWidth="1"/>
    <col min="10766" max="10766" width="10.22265625" customWidth="1"/>
    <col min="10767" max="10767" width="9.01171875" bestFit="1" customWidth="1"/>
    <col min="10768" max="10768" width="8.875" bestFit="1" customWidth="1"/>
    <col min="10771" max="10771" width="33.08984375" bestFit="1" customWidth="1"/>
    <col min="10772" max="10772" width="11.8359375" bestFit="1" customWidth="1"/>
    <col min="10773" max="10773" width="15.6015625" bestFit="1" customWidth="1"/>
    <col min="10774" max="10774" width="27.171875" bestFit="1" customWidth="1"/>
    <col min="11004" max="11004" width="6.1875" bestFit="1" customWidth="1"/>
    <col min="11005" max="11005" width="3.09375" customWidth="1"/>
    <col min="11006" max="11006" width="11.43359375" customWidth="1"/>
    <col min="11007" max="11007" width="10.22265625" bestFit="1" customWidth="1"/>
    <col min="11008" max="11008" width="37.26171875" customWidth="1"/>
    <col min="11009" max="11009" width="3.2265625" bestFit="1" customWidth="1"/>
    <col min="11010" max="11010" width="6.72265625" customWidth="1"/>
    <col min="11011" max="11011" width="7.12890625" customWidth="1"/>
    <col min="11012" max="11012" width="8.609375" customWidth="1"/>
    <col min="11013" max="11013" width="7.26171875" customWidth="1"/>
    <col min="11014" max="11014" width="11.703125" customWidth="1"/>
    <col min="11015" max="11015" width="8.7421875" bestFit="1" customWidth="1"/>
    <col min="11016" max="11016" width="7.93359375" customWidth="1"/>
    <col min="11017" max="11017" width="8.7421875" bestFit="1" customWidth="1"/>
    <col min="11018" max="11018" width="8.875" bestFit="1" customWidth="1"/>
    <col min="11019" max="11019" width="7.12890625" customWidth="1"/>
    <col min="11020" max="11021" width="11.02734375" customWidth="1"/>
    <col min="11022" max="11022" width="10.22265625" customWidth="1"/>
    <col min="11023" max="11023" width="9.01171875" bestFit="1" customWidth="1"/>
    <col min="11024" max="11024" width="8.875" bestFit="1" customWidth="1"/>
    <col min="11027" max="11027" width="33.08984375" bestFit="1" customWidth="1"/>
    <col min="11028" max="11028" width="11.8359375" bestFit="1" customWidth="1"/>
    <col min="11029" max="11029" width="15.6015625" bestFit="1" customWidth="1"/>
    <col min="11030" max="11030" width="27.171875" bestFit="1" customWidth="1"/>
    <col min="11260" max="11260" width="6.1875" bestFit="1" customWidth="1"/>
    <col min="11261" max="11261" width="3.09375" customWidth="1"/>
    <col min="11262" max="11262" width="11.43359375" customWidth="1"/>
    <col min="11263" max="11263" width="10.22265625" bestFit="1" customWidth="1"/>
    <col min="11264" max="11264" width="37.26171875" customWidth="1"/>
    <col min="11265" max="11265" width="3.2265625" bestFit="1" customWidth="1"/>
    <col min="11266" max="11266" width="6.72265625" customWidth="1"/>
    <col min="11267" max="11267" width="7.12890625" customWidth="1"/>
    <col min="11268" max="11268" width="8.609375" customWidth="1"/>
    <col min="11269" max="11269" width="7.26171875" customWidth="1"/>
    <col min="11270" max="11270" width="11.703125" customWidth="1"/>
    <col min="11271" max="11271" width="8.7421875" bestFit="1" customWidth="1"/>
    <col min="11272" max="11272" width="7.93359375" customWidth="1"/>
    <col min="11273" max="11273" width="8.7421875" bestFit="1" customWidth="1"/>
    <col min="11274" max="11274" width="8.875" bestFit="1" customWidth="1"/>
    <col min="11275" max="11275" width="7.12890625" customWidth="1"/>
    <col min="11276" max="11277" width="11.02734375" customWidth="1"/>
    <col min="11278" max="11278" width="10.22265625" customWidth="1"/>
    <col min="11279" max="11279" width="9.01171875" bestFit="1" customWidth="1"/>
    <col min="11280" max="11280" width="8.875" bestFit="1" customWidth="1"/>
    <col min="11283" max="11283" width="33.08984375" bestFit="1" customWidth="1"/>
    <col min="11284" max="11284" width="11.8359375" bestFit="1" customWidth="1"/>
    <col min="11285" max="11285" width="15.6015625" bestFit="1" customWidth="1"/>
    <col min="11286" max="11286" width="27.171875" bestFit="1" customWidth="1"/>
    <col min="11516" max="11516" width="6.1875" bestFit="1" customWidth="1"/>
    <col min="11517" max="11517" width="3.09375" customWidth="1"/>
    <col min="11518" max="11518" width="11.43359375" customWidth="1"/>
    <col min="11519" max="11519" width="10.22265625" bestFit="1" customWidth="1"/>
    <col min="11520" max="11520" width="37.26171875" customWidth="1"/>
    <col min="11521" max="11521" width="3.2265625" bestFit="1" customWidth="1"/>
    <col min="11522" max="11522" width="6.72265625" customWidth="1"/>
    <col min="11523" max="11523" width="7.12890625" customWidth="1"/>
    <col min="11524" max="11524" width="8.609375" customWidth="1"/>
    <col min="11525" max="11525" width="7.26171875" customWidth="1"/>
    <col min="11526" max="11526" width="11.703125" customWidth="1"/>
    <col min="11527" max="11527" width="8.7421875" bestFit="1" customWidth="1"/>
    <col min="11528" max="11528" width="7.93359375" customWidth="1"/>
    <col min="11529" max="11529" width="8.7421875" bestFit="1" customWidth="1"/>
    <col min="11530" max="11530" width="8.875" bestFit="1" customWidth="1"/>
    <col min="11531" max="11531" width="7.12890625" customWidth="1"/>
    <col min="11532" max="11533" width="11.02734375" customWidth="1"/>
    <col min="11534" max="11534" width="10.22265625" customWidth="1"/>
    <col min="11535" max="11535" width="9.01171875" bestFit="1" customWidth="1"/>
    <col min="11536" max="11536" width="8.875" bestFit="1" customWidth="1"/>
    <col min="11539" max="11539" width="33.08984375" bestFit="1" customWidth="1"/>
    <col min="11540" max="11540" width="11.8359375" bestFit="1" customWidth="1"/>
    <col min="11541" max="11541" width="15.6015625" bestFit="1" customWidth="1"/>
    <col min="11542" max="11542" width="27.171875" bestFit="1" customWidth="1"/>
    <col min="11772" max="11772" width="6.1875" bestFit="1" customWidth="1"/>
    <col min="11773" max="11773" width="3.09375" customWidth="1"/>
    <col min="11774" max="11774" width="11.43359375" customWidth="1"/>
    <col min="11775" max="11775" width="10.22265625" bestFit="1" customWidth="1"/>
    <col min="11776" max="11776" width="37.26171875" customWidth="1"/>
    <col min="11777" max="11777" width="3.2265625" bestFit="1" customWidth="1"/>
    <col min="11778" max="11778" width="6.72265625" customWidth="1"/>
    <col min="11779" max="11779" width="7.12890625" customWidth="1"/>
    <col min="11780" max="11780" width="8.609375" customWidth="1"/>
    <col min="11781" max="11781" width="7.26171875" customWidth="1"/>
    <col min="11782" max="11782" width="11.703125" customWidth="1"/>
    <col min="11783" max="11783" width="8.7421875" bestFit="1" customWidth="1"/>
    <col min="11784" max="11784" width="7.93359375" customWidth="1"/>
    <col min="11785" max="11785" width="8.7421875" bestFit="1" customWidth="1"/>
    <col min="11786" max="11786" width="8.875" bestFit="1" customWidth="1"/>
    <col min="11787" max="11787" width="7.12890625" customWidth="1"/>
    <col min="11788" max="11789" width="11.02734375" customWidth="1"/>
    <col min="11790" max="11790" width="10.22265625" customWidth="1"/>
    <col min="11791" max="11791" width="9.01171875" bestFit="1" customWidth="1"/>
    <col min="11792" max="11792" width="8.875" bestFit="1" customWidth="1"/>
    <col min="11795" max="11795" width="33.08984375" bestFit="1" customWidth="1"/>
    <col min="11796" max="11796" width="11.8359375" bestFit="1" customWidth="1"/>
    <col min="11797" max="11797" width="15.6015625" bestFit="1" customWidth="1"/>
    <col min="11798" max="11798" width="27.171875" bestFit="1" customWidth="1"/>
    <col min="12028" max="12028" width="6.1875" bestFit="1" customWidth="1"/>
    <col min="12029" max="12029" width="3.09375" customWidth="1"/>
    <col min="12030" max="12030" width="11.43359375" customWidth="1"/>
    <col min="12031" max="12031" width="10.22265625" bestFit="1" customWidth="1"/>
    <col min="12032" max="12032" width="37.26171875" customWidth="1"/>
    <col min="12033" max="12033" width="3.2265625" bestFit="1" customWidth="1"/>
    <col min="12034" max="12034" width="6.72265625" customWidth="1"/>
    <col min="12035" max="12035" width="7.12890625" customWidth="1"/>
    <col min="12036" max="12036" width="8.609375" customWidth="1"/>
    <col min="12037" max="12037" width="7.26171875" customWidth="1"/>
    <col min="12038" max="12038" width="11.703125" customWidth="1"/>
    <col min="12039" max="12039" width="8.7421875" bestFit="1" customWidth="1"/>
    <col min="12040" max="12040" width="7.93359375" customWidth="1"/>
    <col min="12041" max="12041" width="8.7421875" bestFit="1" customWidth="1"/>
    <col min="12042" max="12042" width="8.875" bestFit="1" customWidth="1"/>
    <col min="12043" max="12043" width="7.12890625" customWidth="1"/>
    <col min="12044" max="12045" width="11.02734375" customWidth="1"/>
    <col min="12046" max="12046" width="10.22265625" customWidth="1"/>
    <col min="12047" max="12047" width="9.01171875" bestFit="1" customWidth="1"/>
    <col min="12048" max="12048" width="8.875" bestFit="1" customWidth="1"/>
    <col min="12051" max="12051" width="33.08984375" bestFit="1" customWidth="1"/>
    <col min="12052" max="12052" width="11.8359375" bestFit="1" customWidth="1"/>
    <col min="12053" max="12053" width="15.6015625" bestFit="1" customWidth="1"/>
    <col min="12054" max="12054" width="27.171875" bestFit="1" customWidth="1"/>
    <col min="12284" max="12284" width="6.1875" bestFit="1" customWidth="1"/>
    <col min="12285" max="12285" width="3.09375" customWidth="1"/>
    <col min="12286" max="12286" width="11.43359375" customWidth="1"/>
    <col min="12287" max="12287" width="10.22265625" bestFit="1" customWidth="1"/>
    <col min="12288" max="12288" width="37.26171875" customWidth="1"/>
    <col min="12289" max="12289" width="3.2265625" bestFit="1" customWidth="1"/>
    <col min="12290" max="12290" width="6.72265625" customWidth="1"/>
    <col min="12291" max="12291" width="7.12890625" customWidth="1"/>
    <col min="12292" max="12292" width="8.609375" customWidth="1"/>
    <col min="12293" max="12293" width="7.26171875" customWidth="1"/>
    <col min="12294" max="12294" width="11.703125" customWidth="1"/>
    <col min="12295" max="12295" width="8.7421875" bestFit="1" customWidth="1"/>
    <col min="12296" max="12296" width="7.93359375" customWidth="1"/>
    <col min="12297" max="12297" width="8.7421875" bestFit="1" customWidth="1"/>
    <col min="12298" max="12298" width="8.875" bestFit="1" customWidth="1"/>
    <col min="12299" max="12299" width="7.12890625" customWidth="1"/>
    <col min="12300" max="12301" width="11.02734375" customWidth="1"/>
    <col min="12302" max="12302" width="10.22265625" customWidth="1"/>
    <col min="12303" max="12303" width="9.01171875" bestFit="1" customWidth="1"/>
    <col min="12304" max="12304" width="8.875" bestFit="1" customWidth="1"/>
    <col min="12307" max="12307" width="33.08984375" bestFit="1" customWidth="1"/>
    <col min="12308" max="12308" width="11.8359375" bestFit="1" customWidth="1"/>
    <col min="12309" max="12309" width="15.6015625" bestFit="1" customWidth="1"/>
    <col min="12310" max="12310" width="27.171875" bestFit="1" customWidth="1"/>
    <col min="12540" max="12540" width="6.1875" bestFit="1" customWidth="1"/>
    <col min="12541" max="12541" width="3.09375" customWidth="1"/>
    <col min="12542" max="12542" width="11.43359375" customWidth="1"/>
    <col min="12543" max="12543" width="10.22265625" bestFit="1" customWidth="1"/>
    <col min="12544" max="12544" width="37.26171875" customWidth="1"/>
    <col min="12545" max="12545" width="3.2265625" bestFit="1" customWidth="1"/>
    <col min="12546" max="12546" width="6.72265625" customWidth="1"/>
    <col min="12547" max="12547" width="7.12890625" customWidth="1"/>
    <col min="12548" max="12548" width="8.609375" customWidth="1"/>
    <col min="12549" max="12549" width="7.26171875" customWidth="1"/>
    <col min="12550" max="12550" width="11.703125" customWidth="1"/>
    <col min="12551" max="12551" width="8.7421875" bestFit="1" customWidth="1"/>
    <col min="12552" max="12552" width="7.93359375" customWidth="1"/>
    <col min="12553" max="12553" width="8.7421875" bestFit="1" customWidth="1"/>
    <col min="12554" max="12554" width="8.875" bestFit="1" customWidth="1"/>
    <col min="12555" max="12555" width="7.12890625" customWidth="1"/>
    <col min="12556" max="12557" width="11.02734375" customWidth="1"/>
    <col min="12558" max="12558" width="10.22265625" customWidth="1"/>
    <col min="12559" max="12559" width="9.01171875" bestFit="1" customWidth="1"/>
    <col min="12560" max="12560" width="8.875" bestFit="1" customWidth="1"/>
    <col min="12563" max="12563" width="33.08984375" bestFit="1" customWidth="1"/>
    <col min="12564" max="12564" width="11.8359375" bestFit="1" customWidth="1"/>
    <col min="12565" max="12565" width="15.6015625" bestFit="1" customWidth="1"/>
    <col min="12566" max="12566" width="27.171875" bestFit="1" customWidth="1"/>
    <col min="12796" max="12796" width="6.1875" bestFit="1" customWidth="1"/>
    <col min="12797" max="12797" width="3.09375" customWidth="1"/>
    <col min="12798" max="12798" width="11.43359375" customWidth="1"/>
    <col min="12799" max="12799" width="10.22265625" bestFit="1" customWidth="1"/>
    <col min="12800" max="12800" width="37.26171875" customWidth="1"/>
    <col min="12801" max="12801" width="3.2265625" bestFit="1" customWidth="1"/>
    <col min="12802" max="12802" width="6.72265625" customWidth="1"/>
    <col min="12803" max="12803" width="7.12890625" customWidth="1"/>
    <col min="12804" max="12804" width="8.609375" customWidth="1"/>
    <col min="12805" max="12805" width="7.26171875" customWidth="1"/>
    <col min="12806" max="12806" width="11.703125" customWidth="1"/>
    <col min="12807" max="12807" width="8.7421875" bestFit="1" customWidth="1"/>
    <col min="12808" max="12808" width="7.93359375" customWidth="1"/>
    <col min="12809" max="12809" width="8.7421875" bestFit="1" customWidth="1"/>
    <col min="12810" max="12810" width="8.875" bestFit="1" customWidth="1"/>
    <col min="12811" max="12811" width="7.12890625" customWidth="1"/>
    <col min="12812" max="12813" width="11.02734375" customWidth="1"/>
    <col min="12814" max="12814" width="10.22265625" customWidth="1"/>
    <col min="12815" max="12815" width="9.01171875" bestFit="1" customWidth="1"/>
    <col min="12816" max="12816" width="8.875" bestFit="1" customWidth="1"/>
    <col min="12819" max="12819" width="33.08984375" bestFit="1" customWidth="1"/>
    <col min="12820" max="12820" width="11.8359375" bestFit="1" customWidth="1"/>
    <col min="12821" max="12821" width="15.6015625" bestFit="1" customWidth="1"/>
    <col min="12822" max="12822" width="27.171875" bestFit="1" customWidth="1"/>
    <col min="13052" max="13052" width="6.1875" bestFit="1" customWidth="1"/>
    <col min="13053" max="13053" width="3.09375" customWidth="1"/>
    <col min="13054" max="13054" width="11.43359375" customWidth="1"/>
    <col min="13055" max="13055" width="10.22265625" bestFit="1" customWidth="1"/>
    <col min="13056" max="13056" width="37.26171875" customWidth="1"/>
    <col min="13057" max="13057" width="3.2265625" bestFit="1" customWidth="1"/>
    <col min="13058" max="13058" width="6.72265625" customWidth="1"/>
    <col min="13059" max="13059" width="7.12890625" customWidth="1"/>
    <col min="13060" max="13060" width="8.609375" customWidth="1"/>
    <col min="13061" max="13061" width="7.26171875" customWidth="1"/>
    <col min="13062" max="13062" width="11.703125" customWidth="1"/>
    <col min="13063" max="13063" width="8.7421875" bestFit="1" customWidth="1"/>
    <col min="13064" max="13064" width="7.93359375" customWidth="1"/>
    <col min="13065" max="13065" width="8.7421875" bestFit="1" customWidth="1"/>
    <col min="13066" max="13066" width="8.875" bestFit="1" customWidth="1"/>
    <col min="13067" max="13067" width="7.12890625" customWidth="1"/>
    <col min="13068" max="13069" width="11.02734375" customWidth="1"/>
    <col min="13070" max="13070" width="10.22265625" customWidth="1"/>
    <col min="13071" max="13071" width="9.01171875" bestFit="1" customWidth="1"/>
    <col min="13072" max="13072" width="8.875" bestFit="1" customWidth="1"/>
    <col min="13075" max="13075" width="33.08984375" bestFit="1" customWidth="1"/>
    <col min="13076" max="13076" width="11.8359375" bestFit="1" customWidth="1"/>
    <col min="13077" max="13077" width="15.6015625" bestFit="1" customWidth="1"/>
    <col min="13078" max="13078" width="27.171875" bestFit="1" customWidth="1"/>
    <col min="13308" max="13308" width="6.1875" bestFit="1" customWidth="1"/>
    <col min="13309" max="13309" width="3.09375" customWidth="1"/>
    <col min="13310" max="13310" width="11.43359375" customWidth="1"/>
    <col min="13311" max="13311" width="10.22265625" bestFit="1" customWidth="1"/>
    <col min="13312" max="13312" width="37.26171875" customWidth="1"/>
    <col min="13313" max="13313" width="3.2265625" bestFit="1" customWidth="1"/>
    <col min="13314" max="13314" width="6.72265625" customWidth="1"/>
    <col min="13315" max="13315" width="7.12890625" customWidth="1"/>
    <col min="13316" max="13316" width="8.609375" customWidth="1"/>
    <col min="13317" max="13317" width="7.26171875" customWidth="1"/>
    <col min="13318" max="13318" width="11.703125" customWidth="1"/>
    <col min="13319" max="13319" width="8.7421875" bestFit="1" customWidth="1"/>
    <col min="13320" max="13320" width="7.93359375" customWidth="1"/>
    <col min="13321" max="13321" width="8.7421875" bestFit="1" customWidth="1"/>
    <col min="13322" max="13322" width="8.875" bestFit="1" customWidth="1"/>
    <col min="13323" max="13323" width="7.12890625" customWidth="1"/>
    <col min="13324" max="13325" width="11.02734375" customWidth="1"/>
    <col min="13326" max="13326" width="10.22265625" customWidth="1"/>
    <col min="13327" max="13327" width="9.01171875" bestFit="1" customWidth="1"/>
    <col min="13328" max="13328" width="8.875" bestFit="1" customWidth="1"/>
    <col min="13331" max="13331" width="33.08984375" bestFit="1" customWidth="1"/>
    <col min="13332" max="13332" width="11.8359375" bestFit="1" customWidth="1"/>
    <col min="13333" max="13333" width="15.6015625" bestFit="1" customWidth="1"/>
    <col min="13334" max="13334" width="27.171875" bestFit="1" customWidth="1"/>
    <col min="13564" max="13564" width="6.1875" bestFit="1" customWidth="1"/>
    <col min="13565" max="13565" width="3.09375" customWidth="1"/>
    <col min="13566" max="13566" width="11.43359375" customWidth="1"/>
    <col min="13567" max="13567" width="10.22265625" bestFit="1" customWidth="1"/>
    <col min="13568" max="13568" width="37.26171875" customWidth="1"/>
    <col min="13569" max="13569" width="3.2265625" bestFit="1" customWidth="1"/>
    <col min="13570" max="13570" width="6.72265625" customWidth="1"/>
    <col min="13571" max="13571" width="7.12890625" customWidth="1"/>
    <col min="13572" max="13572" width="8.609375" customWidth="1"/>
    <col min="13573" max="13573" width="7.26171875" customWidth="1"/>
    <col min="13574" max="13574" width="11.703125" customWidth="1"/>
    <col min="13575" max="13575" width="8.7421875" bestFit="1" customWidth="1"/>
    <col min="13576" max="13576" width="7.93359375" customWidth="1"/>
    <col min="13577" max="13577" width="8.7421875" bestFit="1" customWidth="1"/>
    <col min="13578" max="13578" width="8.875" bestFit="1" customWidth="1"/>
    <col min="13579" max="13579" width="7.12890625" customWidth="1"/>
    <col min="13580" max="13581" width="11.02734375" customWidth="1"/>
    <col min="13582" max="13582" width="10.22265625" customWidth="1"/>
    <col min="13583" max="13583" width="9.01171875" bestFit="1" customWidth="1"/>
    <col min="13584" max="13584" width="8.875" bestFit="1" customWidth="1"/>
    <col min="13587" max="13587" width="33.08984375" bestFit="1" customWidth="1"/>
    <col min="13588" max="13588" width="11.8359375" bestFit="1" customWidth="1"/>
    <col min="13589" max="13589" width="15.6015625" bestFit="1" customWidth="1"/>
    <col min="13590" max="13590" width="27.171875" bestFit="1" customWidth="1"/>
    <col min="13820" max="13820" width="6.1875" bestFit="1" customWidth="1"/>
    <col min="13821" max="13821" width="3.09375" customWidth="1"/>
    <col min="13822" max="13822" width="11.43359375" customWidth="1"/>
    <col min="13823" max="13823" width="10.22265625" bestFit="1" customWidth="1"/>
    <col min="13824" max="13824" width="37.26171875" customWidth="1"/>
    <col min="13825" max="13825" width="3.2265625" bestFit="1" customWidth="1"/>
    <col min="13826" max="13826" width="6.72265625" customWidth="1"/>
    <col min="13827" max="13827" width="7.12890625" customWidth="1"/>
    <col min="13828" max="13828" width="8.609375" customWidth="1"/>
    <col min="13829" max="13829" width="7.26171875" customWidth="1"/>
    <col min="13830" max="13830" width="11.703125" customWidth="1"/>
    <col min="13831" max="13831" width="8.7421875" bestFit="1" customWidth="1"/>
    <col min="13832" max="13832" width="7.93359375" customWidth="1"/>
    <col min="13833" max="13833" width="8.7421875" bestFit="1" customWidth="1"/>
    <col min="13834" max="13834" width="8.875" bestFit="1" customWidth="1"/>
    <col min="13835" max="13835" width="7.12890625" customWidth="1"/>
    <col min="13836" max="13837" width="11.02734375" customWidth="1"/>
    <col min="13838" max="13838" width="10.22265625" customWidth="1"/>
    <col min="13839" max="13839" width="9.01171875" bestFit="1" customWidth="1"/>
    <col min="13840" max="13840" width="8.875" bestFit="1" customWidth="1"/>
    <col min="13843" max="13843" width="33.08984375" bestFit="1" customWidth="1"/>
    <col min="13844" max="13844" width="11.8359375" bestFit="1" customWidth="1"/>
    <col min="13845" max="13845" width="15.6015625" bestFit="1" customWidth="1"/>
    <col min="13846" max="13846" width="27.171875" bestFit="1" customWidth="1"/>
    <col min="14076" max="14076" width="6.1875" bestFit="1" customWidth="1"/>
    <col min="14077" max="14077" width="3.09375" customWidth="1"/>
    <col min="14078" max="14078" width="11.43359375" customWidth="1"/>
    <col min="14079" max="14079" width="10.22265625" bestFit="1" customWidth="1"/>
    <col min="14080" max="14080" width="37.26171875" customWidth="1"/>
    <col min="14081" max="14081" width="3.2265625" bestFit="1" customWidth="1"/>
    <col min="14082" max="14082" width="6.72265625" customWidth="1"/>
    <col min="14083" max="14083" width="7.12890625" customWidth="1"/>
    <col min="14084" max="14084" width="8.609375" customWidth="1"/>
    <col min="14085" max="14085" width="7.26171875" customWidth="1"/>
    <col min="14086" max="14086" width="11.703125" customWidth="1"/>
    <col min="14087" max="14087" width="8.7421875" bestFit="1" customWidth="1"/>
    <col min="14088" max="14088" width="7.93359375" customWidth="1"/>
    <col min="14089" max="14089" width="8.7421875" bestFit="1" customWidth="1"/>
    <col min="14090" max="14090" width="8.875" bestFit="1" customWidth="1"/>
    <col min="14091" max="14091" width="7.12890625" customWidth="1"/>
    <col min="14092" max="14093" width="11.02734375" customWidth="1"/>
    <col min="14094" max="14094" width="10.22265625" customWidth="1"/>
    <col min="14095" max="14095" width="9.01171875" bestFit="1" customWidth="1"/>
    <col min="14096" max="14096" width="8.875" bestFit="1" customWidth="1"/>
    <col min="14099" max="14099" width="33.08984375" bestFit="1" customWidth="1"/>
    <col min="14100" max="14100" width="11.8359375" bestFit="1" customWidth="1"/>
    <col min="14101" max="14101" width="15.6015625" bestFit="1" customWidth="1"/>
    <col min="14102" max="14102" width="27.171875" bestFit="1" customWidth="1"/>
    <col min="14332" max="14332" width="6.1875" bestFit="1" customWidth="1"/>
    <col min="14333" max="14333" width="3.09375" customWidth="1"/>
    <col min="14334" max="14334" width="11.43359375" customWidth="1"/>
    <col min="14335" max="14335" width="10.22265625" bestFit="1" customWidth="1"/>
    <col min="14336" max="14336" width="37.26171875" customWidth="1"/>
    <col min="14337" max="14337" width="3.2265625" bestFit="1" customWidth="1"/>
    <col min="14338" max="14338" width="6.72265625" customWidth="1"/>
    <col min="14339" max="14339" width="7.12890625" customWidth="1"/>
    <col min="14340" max="14340" width="8.609375" customWidth="1"/>
    <col min="14341" max="14341" width="7.26171875" customWidth="1"/>
    <col min="14342" max="14342" width="11.703125" customWidth="1"/>
    <col min="14343" max="14343" width="8.7421875" bestFit="1" customWidth="1"/>
    <col min="14344" max="14344" width="7.93359375" customWidth="1"/>
    <col min="14345" max="14345" width="8.7421875" bestFit="1" customWidth="1"/>
    <col min="14346" max="14346" width="8.875" bestFit="1" customWidth="1"/>
    <col min="14347" max="14347" width="7.12890625" customWidth="1"/>
    <col min="14348" max="14349" width="11.02734375" customWidth="1"/>
    <col min="14350" max="14350" width="10.22265625" customWidth="1"/>
    <col min="14351" max="14351" width="9.01171875" bestFit="1" customWidth="1"/>
    <col min="14352" max="14352" width="8.875" bestFit="1" customWidth="1"/>
    <col min="14355" max="14355" width="33.08984375" bestFit="1" customWidth="1"/>
    <col min="14356" max="14356" width="11.8359375" bestFit="1" customWidth="1"/>
    <col min="14357" max="14357" width="15.6015625" bestFit="1" customWidth="1"/>
    <col min="14358" max="14358" width="27.171875" bestFit="1" customWidth="1"/>
    <col min="14588" max="14588" width="6.1875" bestFit="1" customWidth="1"/>
    <col min="14589" max="14589" width="3.09375" customWidth="1"/>
    <col min="14590" max="14590" width="11.43359375" customWidth="1"/>
    <col min="14591" max="14591" width="10.22265625" bestFit="1" customWidth="1"/>
    <col min="14592" max="14592" width="37.26171875" customWidth="1"/>
    <col min="14593" max="14593" width="3.2265625" bestFit="1" customWidth="1"/>
    <col min="14594" max="14594" width="6.72265625" customWidth="1"/>
    <col min="14595" max="14595" width="7.12890625" customWidth="1"/>
    <col min="14596" max="14596" width="8.609375" customWidth="1"/>
    <col min="14597" max="14597" width="7.26171875" customWidth="1"/>
    <col min="14598" max="14598" width="11.703125" customWidth="1"/>
    <col min="14599" max="14599" width="8.7421875" bestFit="1" customWidth="1"/>
    <col min="14600" max="14600" width="7.93359375" customWidth="1"/>
    <col min="14601" max="14601" width="8.7421875" bestFit="1" customWidth="1"/>
    <col min="14602" max="14602" width="8.875" bestFit="1" customWidth="1"/>
    <col min="14603" max="14603" width="7.12890625" customWidth="1"/>
    <col min="14604" max="14605" width="11.02734375" customWidth="1"/>
    <col min="14606" max="14606" width="10.22265625" customWidth="1"/>
    <col min="14607" max="14607" width="9.01171875" bestFit="1" customWidth="1"/>
    <col min="14608" max="14608" width="8.875" bestFit="1" customWidth="1"/>
    <col min="14611" max="14611" width="33.08984375" bestFit="1" customWidth="1"/>
    <col min="14612" max="14612" width="11.8359375" bestFit="1" customWidth="1"/>
    <col min="14613" max="14613" width="15.6015625" bestFit="1" customWidth="1"/>
    <col min="14614" max="14614" width="27.171875" bestFit="1" customWidth="1"/>
    <col min="14844" max="14844" width="6.1875" bestFit="1" customWidth="1"/>
    <col min="14845" max="14845" width="3.09375" customWidth="1"/>
    <col min="14846" max="14846" width="11.43359375" customWidth="1"/>
    <col min="14847" max="14847" width="10.22265625" bestFit="1" customWidth="1"/>
    <col min="14848" max="14848" width="37.26171875" customWidth="1"/>
    <col min="14849" max="14849" width="3.2265625" bestFit="1" customWidth="1"/>
    <col min="14850" max="14850" width="6.72265625" customWidth="1"/>
    <col min="14851" max="14851" width="7.12890625" customWidth="1"/>
    <col min="14852" max="14852" width="8.609375" customWidth="1"/>
    <col min="14853" max="14853" width="7.26171875" customWidth="1"/>
    <col min="14854" max="14854" width="11.703125" customWidth="1"/>
    <col min="14855" max="14855" width="8.7421875" bestFit="1" customWidth="1"/>
    <col min="14856" max="14856" width="7.93359375" customWidth="1"/>
    <col min="14857" max="14857" width="8.7421875" bestFit="1" customWidth="1"/>
    <col min="14858" max="14858" width="8.875" bestFit="1" customWidth="1"/>
    <col min="14859" max="14859" width="7.12890625" customWidth="1"/>
    <col min="14860" max="14861" width="11.02734375" customWidth="1"/>
    <col min="14862" max="14862" width="10.22265625" customWidth="1"/>
    <col min="14863" max="14863" width="9.01171875" bestFit="1" customWidth="1"/>
    <col min="14864" max="14864" width="8.875" bestFit="1" customWidth="1"/>
    <col min="14867" max="14867" width="33.08984375" bestFit="1" customWidth="1"/>
    <col min="14868" max="14868" width="11.8359375" bestFit="1" customWidth="1"/>
    <col min="14869" max="14869" width="15.6015625" bestFit="1" customWidth="1"/>
    <col min="14870" max="14870" width="27.171875" bestFit="1" customWidth="1"/>
    <col min="15100" max="15100" width="6.1875" bestFit="1" customWidth="1"/>
    <col min="15101" max="15101" width="3.09375" customWidth="1"/>
    <col min="15102" max="15102" width="11.43359375" customWidth="1"/>
    <col min="15103" max="15103" width="10.22265625" bestFit="1" customWidth="1"/>
    <col min="15104" max="15104" width="37.26171875" customWidth="1"/>
    <col min="15105" max="15105" width="3.2265625" bestFit="1" customWidth="1"/>
    <col min="15106" max="15106" width="6.72265625" customWidth="1"/>
    <col min="15107" max="15107" width="7.12890625" customWidth="1"/>
    <col min="15108" max="15108" width="8.609375" customWidth="1"/>
    <col min="15109" max="15109" width="7.26171875" customWidth="1"/>
    <col min="15110" max="15110" width="11.703125" customWidth="1"/>
    <col min="15111" max="15111" width="8.7421875" bestFit="1" customWidth="1"/>
    <col min="15112" max="15112" width="7.93359375" customWidth="1"/>
    <col min="15113" max="15113" width="8.7421875" bestFit="1" customWidth="1"/>
    <col min="15114" max="15114" width="8.875" bestFit="1" customWidth="1"/>
    <col min="15115" max="15115" width="7.12890625" customWidth="1"/>
    <col min="15116" max="15117" width="11.02734375" customWidth="1"/>
    <col min="15118" max="15118" width="10.22265625" customWidth="1"/>
    <col min="15119" max="15119" width="9.01171875" bestFit="1" customWidth="1"/>
    <col min="15120" max="15120" width="8.875" bestFit="1" customWidth="1"/>
    <col min="15123" max="15123" width="33.08984375" bestFit="1" customWidth="1"/>
    <col min="15124" max="15124" width="11.8359375" bestFit="1" customWidth="1"/>
    <col min="15125" max="15125" width="15.6015625" bestFit="1" customWidth="1"/>
    <col min="15126" max="15126" width="27.171875" bestFit="1" customWidth="1"/>
    <col min="15356" max="15356" width="6.1875" bestFit="1" customWidth="1"/>
    <col min="15357" max="15357" width="3.09375" customWidth="1"/>
    <col min="15358" max="15358" width="11.43359375" customWidth="1"/>
    <col min="15359" max="15359" width="10.22265625" bestFit="1" customWidth="1"/>
    <col min="15360" max="15360" width="37.26171875" customWidth="1"/>
    <col min="15361" max="15361" width="3.2265625" bestFit="1" customWidth="1"/>
    <col min="15362" max="15362" width="6.72265625" customWidth="1"/>
    <col min="15363" max="15363" width="7.12890625" customWidth="1"/>
    <col min="15364" max="15364" width="8.609375" customWidth="1"/>
    <col min="15365" max="15365" width="7.26171875" customWidth="1"/>
    <col min="15366" max="15366" width="11.703125" customWidth="1"/>
    <col min="15367" max="15367" width="8.7421875" bestFit="1" customWidth="1"/>
    <col min="15368" max="15368" width="7.93359375" customWidth="1"/>
    <col min="15369" max="15369" width="8.7421875" bestFit="1" customWidth="1"/>
    <col min="15370" max="15370" width="8.875" bestFit="1" customWidth="1"/>
    <col min="15371" max="15371" width="7.12890625" customWidth="1"/>
    <col min="15372" max="15373" width="11.02734375" customWidth="1"/>
    <col min="15374" max="15374" width="10.22265625" customWidth="1"/>
    <col min="15375" max="15375" width="9.01171875" bestFit="1" customWidth="1"/>
    <col min="15376" max="15376" width="8.875" bestFit="1" customWidth="1"/>
    <col min="15379" max="15379" width="33.08984375" bestFit="1" customWidth="1"/>
    <col min="15380" max="15380" width="11.8359375" bestFit="1" customWidth="1"/>
    <col min="15381" max="15381" width="15.6015625" bestFit="1" customWidth="1"/>
    <col min="15382" max="15382" width="27.171875" bestFit="1" customWidth="1"/>
    <col min="15612" max="15612" width="6.1875" bestFit="1" customWidth="1"/>
    <col min="15613" max="15613" width="3.09375" customWidth="1"/>
    <col min="15614" max="15614" width="11.43359375" customWidth="1"/>
    <col min="15615" max="15615" width="10.22265625" bestFit="1" customWidth="1"/>
    <col min="15616" max="15616" width="37.26171875" customWidth="1"/>
    <col min="15617" max="15617" width="3.2265625" bestFit="1" customWidth="1"/>
    <col min="15618" max="15618" width="6.72265625" customWidth="1"/>
    <col min="15619" max="15619" width="7.12890625" customWidth="1"/>
    <col min="15620" max="15620" width="8.609375" customWidth="1"/>
    <col min="15621" max="15621" width="7.26171875" customWidth="1"/>
    <col min="15622" max="15622" width="11.703125" customWidth="1"/>
    <col min="15623" max="15623" width="8.7421875" bestFit="1" customWidth="1"/>
    <col min="15624" max="15624" width="7.93359375" customWidth="1"/>
    <col min="15625" max="15625" width="8.7421875" bestFit="1" customWidth="1"/>
    <col min="15626" max="15626" width="8.875" bestFit="1" customWidth="1"/>
    <col min="15627" max="15627" width="7.12890625" customWidth="1"/>
    <col min="15628" max="15629" width="11.02734375" customWidth="1"/>
    <col min="15630" max="15630" width="10.22265625" customWidth="1"/>
    <col min="15631" max="15631" width="9.01171875" bestFit="1" customWidth="1"/>
    <col min="15632" max="15632" width="8.875" bestFit="1" customWidth="1"/>
    <col min="15635" max="15635" width="33.08984375" bestFit="1" customWidth="1"/>
    <col min="15636" max="15636" width="11.8359375" bestFit="1" customWidth="1"/>
    <col min="15637" max="15637" width="15.6015625" bestFit="1" customWidth="1"/>
    <col min="15638" max="15638" width="27.171875" bestFit="1" customWidth="1"/>
    <col min="15868" max="15868" width="6.1875" bestFit="1" customWidth="1"/>
    <col min="15869" max="15869" width="3.09375" customWidth="1"/>
    <col min="15870" max="15870" width="11.43359375" customWidth="1"/>
    <col min="15871" max="15871" width="10.22265625" bestFit="1" customWidth="1"/>
    <col min="15872" max="15872" width="37.26171875" customWidth="1"/>
    <col min="15873" max="15873" width="3.2265625" bestFit="1" customWidth="1"/>
    <col min="15874" max="15874" width="6.72265625" customWidth="1"/>
    <col min="15875" max="15875" width="7.12890625" customWidth="1"/>
    <col min="15876" max="15876" width="8.609375" customWidth="1"/>
    <col min="15877" max="15877" width="7.26171875" customWidth="1"/>
    <col min="15878" max="15878" width="11.703125" customWidth="1"/>
    <col min="15879" max="15879" width="8.7421875" bestFit="1" customWidth="1"/>
    <col min="15880" max="15880" width="7.93359375" customWidth="1"/>
    <col min="15881" max="15881" width="8.7421875" bestFit="1" customWidth="1"/>
    <col min="15882" max="15882" width="8.875" bestFit="1" customWidth="1"/>
    <col min="15883" max="15883" width="7.12890625" customWidth="1"/>
    <col min="15884" max="15885" width="11.02734375" customWidth="1"/>
    <col min="15886" max="15886" width="10.22265625" customWidth="1"/>
    <col min="15887" max="15887" width="9.01171875" bestFit="1" customWidth="1"/>
    <col min="15888" max="15888" width="8.875" bestFit="1" customWidth="1"/>
    <col min="15891" max="15891" width="33.08984375" bestFit="1" customWidth="1"/>
    <col min="15892" max="15892" width="11.8359375" bestFit="1" customWidth="1"/>
    <col min="15893" max="15893" width="15.6015625" bestFit="1" customWidth="1"/>
    <col min="15894" max="15894" width="27.171875" bestFit="1" customWidth="1"/>
    <col min="16124" max="16124" width="6.1875" bestFit="1" customWidth="1"/>
    <col min="16125" max="16125" width="3.09375" customWidth="1"/>
    <col min="16126" max="16126" width="11.43359375" customWidth="1"/>
    <col min="16127" max="16127" width="10.22265625" bestFit="1" customWidth="1"/>
    <col min="16128" max="16128" width="37.26171875" customWidth="1"/>
    <col min="16129" max="16129" width="3.2265625" bestFit="1" customWidth="1"/>
    <col min="16130" max="16130" width="6.72265625" customWidth="1"/>
    <col min="16131" max="16131" width="7.12890625" customWidth="1"/>
    <col min="16132" max="16132" width="8.609375" customWidth="1"/>
    <col min="16133" max="16133" width="7.26171875" customWidth="1"/>
    <col min="16134" max="16134" width="11.703125" customWidth="1"/>
    <col min="16135" max="16135" width="8.7421875" bestFit="1" customWidth="1"/>
    <col min="16136" max="16136" width="7.93359375" customWidth="1"/>
    <col min="16137" max="16137" width="8.7421875" bestFit="1" customWidth="1"/>
    <col min="16138" max="16138" width="8.875" bestFit="1" customWidth="1"/>
    <col min="16139" max="16139" width="7.12890625" customWidth="1"/>
    <col min="16140" max="16141" width="11.02734375" customWidth="1"/>
    <col min="16142" max="16142" width="10.22265625" customWidth="1"/>
    <col min="16143" max="16143" width="9.01171875" bestFit="1" customWidth="1"/>
    <col min="16144" max="16144" width="8.875" bestFit="1" customWidth="1"/>
    <col min="16147" max="16147" width="33.08984375" bestFit="1" customWidth="1"/>
    <col min="16148" max="16148" width="11.8359375" bestFit="1" customWidth="1"/>
    <col min="16149" max="16149" width="15.6015625" bestFit="1" customWidth="1"/>
    <col min="16150" max="16150" width="27.171875" bestFit="1" customWidth="1"/>
  </cols>
  <sheetData>
    <row r="1" spans="2:29" x14ac:dyDescent="0.2">
      <c r="B1" s="25" t="s">
        <v>295</v>
      </c>
    </row>
    <row r="2" spans="2:29" x14ac:dyDescent="0.2">
      <c r="B2" s="25" t="s">
        <v>296</v>
      </c>
    </row>
    <row r="3" spans="2:29" x14ac:dyDescent="0.2">
      <c r="C3" s="27"/>
      <c r="D3" s="28"/>
      <c r="E3" s="27"/>
      <c r="F3" s="28"/>
      <c r="G3" s="28"/>
      <c r="H3" s="28"/>
      <c r="I3" s="28"/>
      <c r="J3" s="28"/>
      <c r="K3" s="29"/>
      <c r="L3" s="30"/>
      <c r="M3" s="30"/>
      <c r="N3" s="27"/>
      <c r="O3" s="27"/>
      <c r="P3" s="27"/>
      <c r="Q3" s="27"/>
      <c r="R3" s="27"/>
      <c r="S3" s="27"/>
      <c r="T3" s="27"/>
      <c r="U3" s="27"/>
      <c r="V3" s="27"/>
    </row>
    <row r="4" spans="2:29" x14ac:dyDescent="0.2">
      <c r="B4" s="25"/>
      <c r="C4" s="27"/>
      <c r="D4" s="28"/>
      <c r="E4" s="27"/>
      <c r="F4" s="28"/>
      <c r="G4" s="28"/>
      <c r="H4" s="28"/>
      <c r="I4" s="28"/>
      <c r="J4" s="28"/>
      <c r="K4" s="29"/>
      <c r="L4" s="30"/>
      <c r="M4" s="30"/>
      <c r="N4" s="27"/>
      <c r="O4" s="27"/>
      <c r="P4" s="27"/>
      <c r="Q4" s="27"/>
      <c r="R4" s="27"/>
      <c r="S4" s="27"/>
      <c r="T4" s="27"/>
      <c r="U4" s="27"/>
      <c r="V4" s="27"/>
    </row>
    <row r="5" spans="2:29" ht="18" x14ac:dyDescent="0.2">
      <c r="B5" s="31" t="s">
        <v>297</v>
      </c>
      <c r="C5" s="32"/>
      <c r="D5" s="33"/>
      <c r="E5" s="32"/>
      <c r="F5" s="33"/>
      <c r="G5" s="33"/>
      <c r="H5" s="33"/>
      <c r="I5" s="33"/>
      <c r="J5" s="33"/>
      <c r="K5" s="34"/>
      <c r="L5" s="35"/>
      <c r="M5" s="30"/>
      <c r="N5" s="36">
        <v>20</v>
      </c>
      <c r="O5" s="37" t="s">
        <v>298</v>
      </c>
      <c r="P5" s="36"/>
      <c r="Q5" s="36"/>
      <c r="R5" s="36"/>
      <c r="S5" s="36"/>
      <c r="T5" s="36"/>
      <c r="U5" s="36"/>
      <c r="V5" s="36"/>
      <c r="W5" s="36"/>
    </row>
    <row r="6" spans="2:29" ht="40.5" x14ac:dyDescent="0.2">
      <c r="B6" s="38" t="s">
        <v>299</v>
      </c>
      <c r="C6" s="39" t="s">
        <v>300</v>
      </c>
      <c r="D6" s="40" t="s">
        <v>301</v>
      </c>
      <c r="E6" s="39" t="s">
        <v>102</v>
      </c>
      <c r="F6" s="40" t="s">
        <v>1</v>
      </c>
      <c r="G6" s="41" t="s">
        <v>302</v>
      </c>
      <c r="H6" s="42" t="s">
        <v>303</v>
      </c>
      <c r="I6" s="42" t="s">
        <v>304</v>
      </c>
      <c r="J6" s="42" t="s">
        <v>305</v>
      </c>
      <c r="K6" s="42" t="s">
        <v>306</v>
      </c>
      <c r="L6" s="43" t="s">
        <v>307</v>
      </c>
      <c r="M6" s="42" t="s">
        <v>308</v>
      </c>
      <c r="N6" s="42" t="s">
        <v>309</v>
      </c>
      <c r="O6" s="42" t="s">
        <v>310</v>
      </c>
      <c r="P6" s="42" t="s">
        <v>311</v>
      </c>
      <c r="Q6" s="42" t="s">
        <v>312</v>
      </c>
      <c r="R6" s="42" t="s">
        <v>313</v>
      </c>
      <c r="S6" s="42" t="s">
        <v>314</v>
      </c>
      <c r="T6" s="42" t="s">
        <v>315</v>
      </c>
      <c r="U6" s="42" t="s">
        <v>316</v>
      </c>
      <c r="V6" s="42" t="s">
        <v>317</v>
      </c>
      <c r="W6" s="42" t="s">
        <v>318</v>
      </c>
    </row>
    <row r="7" spans="2:29" ht="15.75" thickBot="1" x14ac:dyDescent="0.25">
      <c r="B7" s="7" t="s">
        <v>109</v>
      </c>
      <c r="C7" s="7">
        <v>1</v>
      </c>
      <c r="D7" s="44" t="s">
        <v>319</v>
      </c>
      <c r="E7" s="45" t="s">
        <v>320</v>
      </c>
      <c r="F7" s="7" t="s">
        <v>111</v>
      </c>
      <c r="G7" s="1">
        <v>1</v>
      </c>
      <c r="H7" s="1">
        <v>4</v>
      </c>
      <c r="I7" s="1">
        <v>2</v>
      </c>
      <c r="J7" s="13"/>
      <c r="K7" s="13">
        <f t="shared" ref="K7:K16" si="0">SUM(H7:J7)</f>
        <v>6</v>
      </c>
      <c r="L7" s="46" t="s">
        <v>321</v>
      </c>
      <c r="M7" s="47">
        <f>S7*0.75*K7</f>
        <v>2.25</v>
      </c>
      <c r="N7" s="13">
        <f t="shared" ref="N7:P16" si="1">H7*$N$5</f>
        <v>80</v>
      </c>
      <c r="O7" s="13">
        <f t="shared" si="1"/>
        <v>40</v>
      </c>
      <c r="P7" s="13">
        <f t="shared" si="1"/>
        <v>0</v>
      </c>
      <c r="Q7" s="13">
        <f>SUM(N7:P7)</f>
        <v>120</v>
      </c>
      <c r="R7" s="13">
        <f>Q7*0.75</f>
        <v>90</v>
      </c>
      <c r="S7" s="13">
        <v>0.5</v>
      </c>
      <c r="T7" s="13">
        <f>S7*R7</f>
        <v>45</v>
      </c>
      <c r="U7" s="13">
        <f>T7+R7</f>
        <v>135</v>
      </c>
      <c r="V7" s="13">
        <f>U7/30</f>
        <v>4.5</v>
      </c>
      <c r="W7" s="13">
        <f>U7*1.25</f>
        <v>168.75</v>
      </c>
    </row>
    <row r="8" spans="2:29" ht="15.75" thickBot="1" x14ac:dyDescent="0.25">
      <c r="B8" s="7" t="s">
        <v>109</v>
      </c>
      <c r="C8" s="7">
        <v>2</v>
      </c>
      <c r="D8" s="44"/>
      <c r="E8" s="45" t="s">
        <v>322</v>
      </c>
      <c r="F8" s="7" t="s">
        <v>120</v>
      </c>
      <c r="G8" s="1">
        <v>1</v>
      </c>
      <c r="H8" s="1">
        <v>2</v>
      </c>
      <c r="I8" s="1">
        <v>2</v>
      </c>
      <c r="J8" s="13">
        <v>2</v>
      </c>
      <c r="K8" s="13">
        <f t="shared" si="0"/>
        <v>6</v>
      </c>
      <c r="L8" s="46" t="s">
        <v>321</v>
      </c>
      <c r="M8" s="47">
        <f t="shared" ref="M8:M16" si="2">S8*0.75*K8</f>
        <v>4.5</v>
      </c>
      <c r="N8" s="13">
        <f t="shared" si="1"/>
        <v>40</v>
      </c>
      <c r="O8" s="13">
        <f t="shared" si="1"/>
        <v>40</v>
      </c>
      <c r="P8" s="13">
        <f t="shared" si="1"/>
        <v>40</v>
      </c>
      <c r="Q8" s="13">
        <f t="shared" ref="Q8:Q14" si="3">SUM(N8:P8)</f>
        <v>120</v>
      </c>
      <c r="R8" s="13">
        <f t="shared" ref="R8:R16" si="4">Q8*0.75</f>
        <v>90</v>
      </c>
      <c r="S8" s="13">
        <v>1</v>
      </c>
      <c r="T8" s="13">
        <f t="shared" ref="T8:T16" si="5">S8*R8</f>
        <v>90</v>
      </c>
      <c r="U8" s="13">
        <f t="shared" ref="U8:U16" si="6">T8+R8</f>
        <v>180</v>
      </c>
      <c r="V8" s="13">
        <f t="shared" ref="V8:V16" si="7">U8/30</f>
        <v>6</v>
      </c>
      <c r="W8" s="13">
        <f t="shared" ref="W8:W16" si="8">U8*1.25</f>
        <v>225</v>
      </c>
      <c r="Z8" s="224" t="s">
        <v>323</v>
      </c>
      <c r="AA8" s="226" t="s">
        <v>324</v>
      </c>
      <c r="AB8" s="227"/>
      <c r="AC8" s="48" t="s">
        <v>325</v>
      </c>
    </row>
    <row r="9" spans="2:29" ht="15.75" thickBot="1" x14ac:dyDescent="0.25">
      <c r="B9" s="7" t="s">
        <v>109</v>
      </c>
      <c r="C9" s="7">
        <v>3</v>
      </c>
      <c r="D9" s="44"/>
      <c r="E9" s="45" t="s">
        <v>326</v>
      </c>
      <c r="F9" s="7" t="s">
        <v>126</v>
      </c>
      <c r="G9" s="1">
        <v>1</v>
      </c>
      <c r="H9" s="1">
        <v>2</v>
      </c>
      <c r="I9" s="1">
        <v>4</v>
      </c>
      <c r="J9" s="13"/>
      <c r="K9" s="13">
        <f t="shared" si="0"/>
        <v>6</v>
      </c>
      <c r="L9" s="46" t="s">
        <v>321</v>
      </c>
      <c r="M9" s="47">
        <f t="shared" si="2"/>
        <v>4.5</v>
      </c>
      <c r="N9" s="13">
        <f t="shared" si="1"/>
        <v>40</v>
      </c>
      <c r="O9" s="13">
        <f t="shared" si="1"/>
        <v>80</v>
      </c>
      <c r="P9" s="13">
        <f t="shared" si="1"/>
        <v>0</v>
      </c>
      <c r="Q9" s="13">
        <f t="shared" si="3"/>
        <v>120</v>
      </c>
      <c r="R9" s="13">
        <f t="shared" si="4"/>
        <v>90</v>
      </c>
      <c r="S9" s="13">
        <v>1</v>
      </c>
      <c r="T9" s="13">
        <f t="shared" si="5"/>
        <v>90</v>
      </c>
      <c r="U9" s="13">
        <f t="shared" si="6"/>
        <v>180</v>
      </c>
      <c r="V9" s="13">
        <f t="shared" si="7"/>
        <v>6</v>
      </c>
      <c r="W9" s="13">
        <f t="shared" si="8"/>
        <v>225</v>
      </c>
      <c r="Z9" s="225"/>
      <c r="AA9" s="48" t="s">
        <v>327</v>
      </c>
      <c r="AB9" s="48" t="s">
        <v>328</v>
      </c>
      <c r="AC9" s="48" t="s">
        <v>328</v>
      </c>
    </row>
    <row r="10" spans="2:29" ht="15.75" thickBot="1" x14ac:dyDescent="0.25">
      <c r="B10" s="7" t="s">
        <v>109</v>
      </c>
      <c r="C10" s="7">
        <v>4</v>
      </c>
      <c r="D10" s="44"/>
      <c r="E10" s="45" t="s">
        <v>329</v>
      </c>
      <c r="F10" s="7" t="s">
        <v>129</v>
      </c>
      <c r="G10" s="1">
        <v>1</v>
      </c>
      <c r="H10" s="1">
        <v>4</v>
      </c>
      <c r="I10" s="1">
        <v>4</v>
      </c>
      <c r="J10" s="13"/>
      <c r="K10" s="13">
        <f t="shared" si="0"/>
        <v>8</v>
      </c>
      <c r="L10" s="46" t="s">
        <v>321</v>
      </c>
      <c r="M10" s="47">
        <f t="shared" si="2"/>
        <v>6</v>
      </c>
      <c r="N10" s="13">
        <f t="shared" si="1"/>
        <v>80</v>
      </c>
      <c r="O10" s="13">
        <f t="shared" si="1"/>
        <v>80</v>
      </c>
      <c r="P10" s="13">
        <f t="shared" si="1"/>
        <v>0</v>
      </c>
      <c r="Q10" s="13">
        <f t="shared" si="3"/>
        <v>160</v>
      </c>
      <c r="R10" s="13">
        <f t="shared" si="4"/>
        <v>120</v>
      </c>
      <c r="S10" s="13">
        <v>1</v>
      </c>
      <c r="T10" s="13">
        <f t="shared" si="5"/>
        <v>120</v>
      </c>
      <c r="U10" s="13">
        <f t="shared" si="6"/>
        <v>240</v>
      </c>
      <c r="V10" s="13">
        <f t="shared" si="7"/>
        <v>8</v>
      </c>
      <c r="W10" s="13">
        <f t="shared" si="8"/>
        <v>300</v>
      </c>
      <c r="Z10" s="49" t="s">
        <v>330</v>
      </c>
      <c r="AA10" s="50">
        <v>12</v>
      </c>
      <c r="AB10" s="50">
        <f>(AA10/$AA$14)*100</f>
        <v>20</v>
      </c>
      <c r="AC10" s="50" t="s">
        <v>331</v>
      </c>
    </row>
    <row r="11" spans="2:29" ht="15.75" thickBot="1" x14ac:dyDescent="0.25">
      <c r="B11" s="7" t="s">
        <v>109</v>
      </c>
      <c r="C11" s="7">
        <v>7</v>
      </c>
      <c r="D11" s="44" t="s">
        <v>332</v>
      </c>
      <c r="E11" s="45" t="s">
        <v>333</v>
      </c>
      <c r="F11" s="7" t="s">
        <v>142</v>
      </c>
      <c r="G11" s="1">
        <v>2</v>
      </c>
      <c r="H11" s="1">
        <v>4</v>
      </c>
      <c r="I11" s="1">
        <v>2</v>
      </c>
      <c r="J11" s="13"/>
      <c r="K11" s="13">
        <f t="shared" si="0"/>
        <v>6</v>
      </c>
      <c r="L11" s="46" t="s">
        <v>320</v>
      </c>
      <c r="M11" s="47">
        <f t="shared" si="2"/>
        <v>4.5</v>
      </c>
      <c r="N11" s="13">
        <f t="shared" si="1"/>
        <v>80</v>
      </c>
      <c r="O11" s="13">
        <f t="shared" si="1"/>
        <v>40</v>
      </c>
      <c r="P11" s="13">
        <f t="shared" si="1"/>
        <v>0</v>
      </c>
      <c r="Q11" s="13">
        <f t="shared" si="3"/>
        <v>120</v>
      </c>
      <c r="R11" s="13">
        <f t="shared" si="4"/>
        <v>90</v>
      </c>
      <c r="S11" s="13">
        <v>1</v>
      </c>
      <c r="T11" s="13">
        <f t="shared" si="5"/>
        <v>90</v>
      </c>
      <c r="U11" s="13">
        <f t="shared" si="6"/>
        <v>180</v>
      </c>
      <c r="V11" s="13">
        <f t="shared" si="7"/>
        <v>6</v>
      </c>
      <c r="W11" s="13">
        <f t="shared" si="8"/>
        <v>225</v>
      </c>
      <c r="Z11" s="49" t="s">
        <v>334</v>
      </c>
      <c r="AA11" s="50">
        <v>16</v>
      </c>
      <c r="AB11" s="51">
        <f>(AA11/$AA$14)*100</f>
        <v>26.666666666666668</v>
      </c>
      <c r="AC11" s="50" t="s">
        <v>335</v>
      </c>
    </row>
    <row r="12" spans="2:29" ht="15.75" thickBot="1" x14ac:dyDescent="0.25">
      <c r="B12" s="7" t="s">
        <v>109</v>
      </c>
      <c r="C12" s="7">
        <v>8</v>
      </c>
      <c r="D12" s="44"/>
      <c r="E12" s="45" t="s">
        <v>336</v>
      </c>
      <c r="F12" s="7" t="s">
        <v>337</v>
      </c>
      <c r="G12" s="1">
        <v>2</v>
      </c>
      <c r="H12" s="1">
        <v>2</v>
      </c>
      <c r="I12" s="1">
        <v>4</v>
      </c>
      <c r="J12" s="13"/>
      <c r="K12" s="13">
        <f t="shared" si="0"/>
        <v>6</v>
      </c>
      <c r="L12" s="46" t="s">
        <v>326</v>
      </c>
      <c r="M12" s="47">
        <f t="shared" si="2"/>
        <v>4.5</v>
      </c>
      <c r="N12" s="13">
        <f t="shared" si="1"/>
        <v>40</v>
      </c>
      <c r="O12" s="13">
        <f t="shared" si="1"/>
        <v>80</v>
      </c>
      <c r="P12" s="13">
        <f t="shared" si="1"/>
        <v>0</v>
      </c>
      <c r="Q12" s="13">
        <f t="shared" si="3"/>
        <v>120</v>
      </c>
      <c r="R12" s="13">
        <f t="shared" si="4"/>
        <v>90</v>
      </c>
      <c r="S12" s="13">
        <v>1</v>
      </c>
      <c r="T12" s="13">
        <f t="shared" si="5"/>
        <v>90</v>
      </c>
      <c r="U12" s="13">
        <f t="shared" si="6"/>
        <v>180</v>
      </c>
      <c r="V12" s="13">
        <f t="shared" si="7"/>
        <v>6</v>
      </c>
      <c r="W12" s="13">
        <f t="shared" si="8"/>
        <v>225</v>
      </c>
      <c r="Z12" s="49" t="s">
        <v>338</v>
      </c>
      <c r="AA12" s="50">
        <v>22</v>
      </c>
      <c r="AB12" s="51">
        <f>(AA12/$AA$14)*100</f>
        <v>36.666666666666664</v>
      </c>
      <c r="AC12" s="50" t="s">
        <v>339</v>
      </c>
    </row>
    <row r="13" spans="2:29" ht="15.75" thickBot="1" x14ac:dyDescent="0.25">
      <c r="B13" s="7" t="s">
        <v>109</v>
      </c>
      <c r="C13" s="7">
        <v>9</v>
      </c>
      <c r="D13" s="44"/>
      <c r="E13" s="45" t="s">
        <v>340</v>
      </c>
      <c r="F13" s="7" t="s">
        <v>150</v>
      </c>
      <c r="G13" s="1">
        <v>2</v>
      </c>
      <c r="H13" s="1">
        <v>2</v>
      </c>
      <c r="I13" s="1">
        <v>2</v>
      </c>
      <c r="J13" s="13">
        <v>2</v>
      </c>
      <c r="K13" s="13">
        <f t="shared" si="0"/>
        <v>6</v>
      </c>
      <c r="L13" s="46" t="s">
        <v>322</v>
      </c>
      <c r="M13" s="47">
        <f t="shared" si="2"/>
        <v>4.5</v>
      </c>
      <c r="N13" s="13">
        <f t="shared" si="1"/>
        <v>40</v>
      </c>
      <c r="O13" s="13">
        <f t="shared" si="1"/>
        <v>40</v>
      </c>
      <c r="P13" s="13">
        <f t="shared" si="1"/>
        <v>40</v>
      </c>
      <c r="Q13" s="13">
        <f t="shared" si="3"/>
        <v>120</v>
      </c>
      <c r="R13" s="13">
        <f t="shared" si="4"/>
        <v>90</v>
      </c>
      <c r="S13" s="13">
        <v>1</v>
      </c>
      <c r="T13" s="13">
        <f t="shared" si="5"/>
        <v>90</v>
      </c>
      <c r="U13" s="13">
        <f t="shared" si="6"/>
        <v>180</v>
      </c>
      <c r="V13" s="13">
        <f t="shared" si="7"/>
        <v>6</v>
      </c>
      <c r="W13" s="13">
        <f t="shared" si="8"/>
        <v>225</v>
      </c>
      <c r="Z13" s="49" t="s">
        <v>341</v>
      </c>
      <c r="AA13" s="50">
        <v>10</v>
      </c>
      <c r="AB13" s="51">
        <f>(AA13/$AA$14)*100</f>
        <v>16.666666666666664</v>
      </c>
      <c r="AC13" s="50" t="s">
        <v>342</v>
      </c>
    </row>
    <row r="14" spans="2:29" ht="15.75" thickBot="1" x14ac:dyDescent="0.25">
      <c r="B14" s="7" t="s">
        <v>109</v>
      </c>
      <c r="C14" s="7">
        <v>13</v>
      </c>
      <c r="D14" s="44" t="s">
        <v>343</v>
      </c>
      <c r="E14" s="45" t="s">
        <v>344</v>
      </c>
      <c r="F14" s="7" t="s">
        <v>165</v>
      </c>
      <c r="G14" s="1">
        <v>3</v>
      </c>
      <c r="H14" s="1">
        <v>4</v>
      </c>
      <c r="I14" s="1">
        <v>2</v>
      </c>
      <c r="J14" s="13"/>
      <c r="K14" s="13">
        <f t="shared" si="0"/>
        <v>6</v>
      </c>
      <c r="L14" s="46" t="s">
        <v>345</v>
      </c>
      <c r="M14" s="47">
        <f t="shared" si="2"/>
        <v>2.25</v>
      </c>
      <c r="N14" s="13">
        <f t="shared" si="1"/>
        <v>80</v>
      </c>
      <c r="O14" s="13">
        <f t="shared" si="1"/>
        <v>40</v>
      </c>
      <c r="P14" s="13">
        <f t="shared" si="1"/>
        <v>0</v>
      </c>
      <c r="Q14" s="13">
        <f t="shared" si="3"/>
        <v>120</v>
      </c>
      <c r="R14" s="13">
        <f t="shared" si="4"/>
        <v>90</v>
      </c>
      <c r="S14" s="13">
        <v>0.5</v>
      </c>
      <c r="T14" s="13">
        <f t="shared" si="5"/>
        <v>45</v>
      </c>
      <c r="U14" s="13">
        <f t="shared" si="6"/>
        <v>135</v>
      </c>
      <c r="V14" s="13">
        <f t="shared" si="7"/>
        <v>4.5</v>
      </c>
      <c r="W14" s="13">
        <f t="shared" si="8"/>
        <v>168.75</v>
      </c>
      <c r="Z14" s="52" t="s">
        <v>346</v>
      </c>
      <c r="AA14" s="50">
        <f>SUM(AA10:AA13)</f>
        <v>60</v>
      </c>
      <c r="AB14" s="50">
        <f>SUM(AB10:AB13)</f>
        <v>100</v>
      </c>
      <c r="AC14" s="50"/>
    </row>
    <row r="15" spans="2:29" x14ac:dyDescent="0.2">
      <c r="B15" s="7" t="s">
        <v>109</v>
      </c>
      <c r="C15" s="7">
        <v>14</v>
      </c>
      <c r="D15" s="44"/>
      <c r="E15" s="45" t="s">
        <v>347</v>
      </c>
      <c r="F15" s="7" t="s">
        <v>348</v>
      </c>
      <c r="G15" s="1">
        <v>3</v>
      </c>
      <c r="H15" s="1">
        <v>2</v>
      </c>
      <c r="I15" s="1">
        <v>4</v>
      </c>
      <c r="J15" s="13"/>
      <c r="K15" s="13">
        <f t="shared" si="0"/>
        <v>6</v>
      </c>
      <c r="L15" s="46" t="s">
        <v>336</v>
      </c>
      <c r="M15" s="47">
        <f t="shared" si="2"/>
        <v>4.5</v>
      </c>
      <c r="N15" s="13">
        <f t="shared" si="1"/>
        <v>40</v>
      </c>
      <c r="O15" s="13">
        <f t="shared" si="1"/>
        <v>80</v>
      </c>
      <c r="P15" s="13">
        <f t="shared" si="1"/>
        <v>0</v>
      </c>
      <c r="Q15" s="13">
        <f>SUM(N15:P15)</f>
        <v>120</v>
      </c>
      <c r="R15" s="13">
        <f t="shared" si="4"/>
        <v>90</v>
      </c>
      <c r="S15" s="13">
        <v>1</v>
      </c>
      <c r="T15" s="13">
        <f t="shared" si="5"/>
        <v>90</v>
      </c>
      <c r="U15" s="13">
        <f t="shared" si="6"/>
        <v>180</v>
      </c>
      <c r="V15" s="13">
        <f t="shared" si="7"/>
        <v>6</v>
      </c>
      <c r="W15" s="13">
        <f t="shared" si="8"/>
        <v>225</v>
      </c>
    </row>
    <row r="16" spans="2:29" x14ac:dyDescent="0.2">
      <c r="B16" s="7" t="s">
        <v>109</v>
      </c>
      <c r="C16" s="7">
        <v>19</v>
      </c>
      <c r="D16" s="44" t="s">
        <v>349</v>
      </c>
      <c r="E16" s="45" t="s">
        <v>350</v>
      </c>
      <c r="F16" s="7" t="s">
        <v>182</v>
      </c>
      <c r="G16" s="1">
        <v>4</v>
      </c>
      <c r="H16" s="1">
        <v>4</v>
      </c>
      <c r="I16" s="1">
        <v>2</v>
      </c>
      <c r="J16" s="13"/>
      <c r="K16" s="13">
        <f t="shared" si="0"/>
        <v>6</v>
      </c>
      <c r="L16" s="46" t="s">
        <v>344</v>
      </c>
      <c r="M16" s="47">
        <f t="shared" si="2"/>
        <v>4.5</v>
      </c>
      <c r="N16" s="13">
        <f t="shared" si="1"/>
        <v>80</v>
      </c>
      <c r="O16" s="13">
        <f t="shared" si="1"/>
        <v>40</v>
      </c>
      <c r="P16" s="13">
        <f t="shared" si="1"/>
        <v>0</v>
      </c>
      <c r="Q16" s="13">
        <f>SUM(N16:P16)</f>
        <v>120</v>
      </c>
      <c r="R16" s="13">
        <f t="shared" si="4"/>
        <v>90</v>
      </c>
      <c r="S16" s="53">
        <v>1</v>
      </c>
      <c r="T16" s="13">
        <f t="shared" si="5"/>
        <v>90</v>
      </c>
      <c r="U16" s="13">
        <f t="shared" si="6"/>
        <v>180</v>
      </c>
      <c r="V16" s="13">
        <f t="shared" si="7"/>
        <v>6</v>
      </c>
      <c r="W16" s="13">
        <f t="shared" si="8"/>
        <v>225</v>
      </c>
    </row>
    <row r="17" spans="2:23" x14ac:dyDescent="0.2">
      <c r="B17" s="7"/>
      <c r="C17" s="54" t="s">
        <v>351</v>
      </c>
      <c r="D17" s="44"/>
      <c r="E17" s="45"/>
      <c r="F17" s="7"/>
      <c r="G17" s="1"/>
      <c r="H17" s="55">
        <f>SUM(H7:H16)</f>
        <v>30</v>
      </c>
      <c r="I17" s="55">
        <f t="shared" ref="I17:W17" si="9">SUM(I7:I16)</f>
        <v>28</v>
      </c>
      <c r="J17" s="55">
        <f t="shared" si="9"/>
        <v>4</v>
      </c>
      <c r="K17" s="55">
        <f t="shared" si="9"/>
        <v>62</v>
      </c>
      <c r="L17" s="56"/>
      <c r="M17" s="56"/>
      <c r="N17" s="55">
        <f t="shared" si="9"/>
        <v>600</v>
      </c>
      <c r="O17" s="55">
        <f t="shared" si="9"/>
        <v>560</v>
      </c>
      <c r="P17" s="55">
        <f t="shared" si="9"/>
        <v>80</v>
      </c>
      <c r="Q17" s="55">
        <f t="shared" si="9"/>
        <v>1240</v>
      </c>
      <c r="R17" s="55">
        <f t="shared" si="9"/>
        <v>930</v>
      </c>
      <c r="S17" s="55">
        <f t="shared" si="9"/>
        <v>9</v>
      </c>
      <c r="T17" s="55">
        <f t="shared" si="9"/>
        <v>840</v>
      </c>
      <c r="U17" s="55">
        <f t="shared" si="9"/>
        <v>1770</v>
      </c>
      <c r="V17" s="55">
        <f t="shared" si="9"/>
        <v>59</v>
      </c>
      <c r="W17" s="55">
        <f t="shared" si="9"/>
        <v>2212.5</v>
      </c>
    </row>
    <row r="18" spans="2:23" x14ac:dyDescent="0.2">
      <c r="C18" s="25"/>
      <c r="D18" s="57"/>
      <c r="E18" s="58"/>
      <c r="G18" s="59"/>
      <c r="H18" s="60"/>
      <c r="I18" s="60"/>
      <c r="J18" s="60"/>
      <c r="K18" s="60"/>
      <c r="L18" s="61"/>
      <c r="M18" s="61"/>
      <c r="N18" s="60"/>
      <c r="O18" s="60"/>
      <c r="P18" s="60"/>
      <c r="Q18" s="60"/>
      <c r="R18" s="60"/>
      <c r="S18" s="60"/>
      <c r="T18" s="60"/>
      <c r="U18" s="60"/>
      <c r="V18" s="60"/>
      <c r="W18" s="60"/>
    </row>
    <row r="19" spans="2:23" x14ac:dyDescent="0.2">
      <c r="B19" s="31" t="s">
        <v>352</v>
      </c>
      <c r="C19" s="62"/>
      <c r="D19" s="63"/>
      <c r="E19" s="64"/>
      <c r="F19" s="62"/>
      <c r="G19" s="65"/>
      <c r="H19" s="65"/>
      <c r="I19" s="65"/>
      <c r="J19" s="10"/>
      <c r="K19" s="10"/>
      <c r="L19" s="66"/>
      <c r="M19" s="66"/>
      <c r="N19" s="62"/>
      <c r="O19" s="62"/>
      <c r="P19" s="62"/>
      <c r="Q19" s="62"/>
      <c r="R19" s="62"/>
      <c r="S19" s="62"/>
      <c r="T19" s="62"/>
      <c r="U19" s="62"/>
      <c r="V19" s="62"/>
      <c r="W19" s="62"/>
    </row>
    <row r="20" spans="2:23" ht="40.5" x14ac:dyDescent="0.2">
      <c r="B20" s="38" t="s">
        <v>299</v>
      </c>
      <c r="C20" s="67" t="s">
        <v>300</v>
      </c>
      <c r="D20" s="38" t="s">
        <v>301</v>
      </c>
      <c r="E20" s="67" t="s">
        <v>102</v>
      </c>
      <c r="F20" s="38" t="s">
        <v>1</v>
      </c>
      <c r="G20" s="68" t="s">
        <v>302</v>
      </c>
      <c r="H20" s="69" t="s">
        <v>303</v>
      </c>
      <c r="I20" s="69" t="s">
        <v>304</v>
      </c>
      <c r="J20" s="69" t="s">
        <v>305</v>
      </c>
      <c r="K20" s="69" t="s">
        <v>353</v>
      </c>
      <c r="L20" s="70" t="s">
        <v>307</v>
      </c>
      <c r="M20" s="70"/>
      <c r="N20" s="69" t="s">
        <v>309</v>
      </c>
      <c r="O20" s="69" t="s">
        <v>310</v>
      </c>
      <c r="P20" s="69" t="s">
        <v>311</v>
      </c>
      <c r="Q20" s="69" t="s">
        <v>312</v>
      </c>
      <c r="R20" s="69" t="s">
        <v>313</v>
      </c>
      <c r="S20" s="69" t="s">
        <v>314</v>
      </c>
      <c r="T20" s="69" t="s">
        <v>354</v>
      </c>
      <c r="U20" s="69" t="s">
        <v>316</v>
      </c>
      <c r="V20" s="69" t="s">
        <v>317</v>
      </c>
      <c r="W20" s="69" t="s">
        <v>318</v>
      </c>
    </row>
    <row r="21" spans="2:23" x14ac:dyDescent="0.2">
      <c r="B21" s="7" t="s">
        <v>0</v>
      </c>
      <c r="C21" s="7">
        <v>10</v>
      </c>
      <c r="D21" s="44"/>
      <c r="E21" s="45" t="s">
        <v>355</v>
      </c>
      <c r="F21" s="7" t="s">
        <v>356</v>
      </c>
      <c r="G21" s="1">
        <v>2</v>
      </c>
      <c r="H21" s="1">
        <v>2</v>
      </c>
      <c r="I21" s="1">
        <v>4</v>
      </c>
      <c r="J21" s="11"/>
      <c r="K21" s="13">
        <f t="shared" ref="K21:K33" si="10">SUM(H21:J21)</f>
        <v>6</v>
      </c>
      <c r="L21" s="71" t="s">
        <v>329</v>
      </c>
      <c r="M21" s="47">
        <f t="shared" ref="M21:M33" si="11">S21*0.75*K21</f>
        <v>4.5</v>
      </c>
      <c r="N21" s="13">
        <f t="shared" ref="N21:P33" si="12">H21*$N$5</f>
        <v>40</v>
      </c>
      <c r="O21" s="13">
        <f t="shared" si="12"/>
        <v>80</v>
      </c>
      <c r="P21" s="13">
        <f t="shared" si="12"/>
        <v>0</v>
      </c>
      <c r="Q21" s="13">
        <f>SUM(N21:P21)</f>
        <v>120</v>
      </c>
      <c r="R21" s="13">
        <f t="shared" ref="R21:R33" si="13">Q21*0.75</f>
        <v>90</v>
      </c>
      <c r="S21" s="53">
        <v>1</v>
      </c>
      <c r="T21" s="13">
        <f t="shared" ref="T21:T33" si="14">S21*R21</f>
        <v>90</v>
      </c>
      <c r="U21" s="13">
        <f t="shared" ref="U21:U33" si="15">T21+R21</f>
        <v>180</v>
      </c>
      <c r="V21" s="13">
        <f t="shared" ref="V21:V33" si="16">U21/30</f>
        <v>6</v>
      </c>
      <c r="W21" s="13">
        <f t="shared" ref="W21:W33" si="17">U21*1.25</f>
        <v>225</v>
      </c>
    </row>
    <row r="22" spans="2:23" x14ac:dyDescent="0.2">
      <c r="B22" s="7" t="s">
        <v>0</v>
      </c>
      <c r="C22" s="7">
        <v>15</v>
      </c>
      <c r="D22" s="44"/>
      <c r="E22" s="45" t="s">
        <v>357</v>
      </c>
      <c r="F22" s="7" t="s">
        <v>171</v>
      </c>
      <c r="G22" s="1">
        <v>3</v>
      </c>
      <c r="H22" s="1">
        <v>4</v>
      </c>
      <c r="I22" s="1">
        <v>2</v>
      </c>
      <c r="J22" s="11"/>
      <c r="K22" s="13">
        <f t="shared" si="10"/>
        <v>6</v>
      </c>
      <c r="L22" s="71" t="s">
        <v>333</v>
      </c>
      <c r="M22" s="47">
        <f t="shared" si="11"/>
        <v>4.5</v>
      </c>
      <c r="N22" s="13">
        <f t="shared" si="12"/>
        <v>80</v>
      </c>
      <c r="O22" s="13">
        <f t="shared" si="12"/>
        <v>40</v>
      </c>
      <c r="P22" s="13">
        <f t="shared" si="12"/>
        <v>0</v>
      </c>
      <c r="Q22" s="13">
        <f>SUM(N22:P22)</f>
        <v>120</v>
      </c>
      <c r="R22" s="13">
        <f t="shared" si="13"/>
        <v>90</v>
      </c>
      <c r="S22" s="53">
        <v>1</v>
      </c>
      <c r="T22" s="13">
        <f t="shared" si="14"/>
        <v>90</v>
      </c>
      <c r="U22" s="13">
        <f t="shared" si="15"/>
        <v>180</v>
      </c>
      <c r="V22" s="13">
        <f t="shared" si="16"/>
        <v>6</v>
      </c>
      <c r="W22" s="13">
        <f t="shared" si="17"/>
        <v>225</v>
      </c>
    </row>
    <row r="23" spans="2:23" x14ac:dyDescent="0.2">
      <c r="B23" s="7" t="s">
        <v>0</v>
      </c>
      <c r="C23" s="7">
        <v>16</v>
      </c>
      <c r="D23" s="44"/>
      <c r="E23" s="45" t="s">
        <v>358</v>
      </c>
      <c r="F23" s="7" t="s">
        <v>173</v>
      </c>
      <c r="G23" s="1">
        <v>3</v>
      </c>
      <c r="H23" s="1">
        <v>4</v>
      </c>
      <c r="I23" s="1">
        <v>2</v>
      </c>
      <c r="J23" s="11"/>
      <c r="K23" s="13">
        <f t="shared" si="10"/>
        <v>6</v>
      </c>
      <c r="L23" s="71" t="s">
        <v>355</v>
      </c>
      <c r="M23" s="47">
        <f t="shared" si="11"/>
        <v>4.5</v>
      </c>
      <c r="N23" s="13">
        <f t="shared" si="12"/>
        <v>80</v>
      </c>
      <c r="O23" s="13">
        <f t="shared" si="12"/>
        <v>40</v>
      </c>
      <c r="P23" s="13">
        <f t="shared" si="12"/>
        <v>0</v>
      </c>
      <c r="Q23" s="13">
        <f>SUM(N23:P23)</f>
        <v>120</v>
      </c>
      <c r="R23" s="13">
        <f t="shared" si="13"/>
        <v>90</v>
      </c>
      <c r="S23" s="53">
        <v>1</v>
      </c>
      <c r="T23" s="13">
        <f t="shared" si="14"/>
        <v>90</v>
      </c>
      <c r="U23" s="13">
        <f t="shared" si="15"/>
        <v>180</v>
      </c>
      <c r="V23" s="13">
        <f t="shared" si="16"/>
        <v>6</v>
      </c>
      <c r="W23" s="13">
        <f t="shared" si="17"/>
        <v>225</v>
      </c>
    </row>
    <row r="24" spans="2:23" x14ac:dyDescent="0.2">
      <c r="B24" s="7" t="s">
        <v>0</v>
      </c>
      <c r="C24" s="7">
        <v>17</v>
      </c>
      <c r="D24" s="44"/>
      <c r="E24" s="45" t="s">
        <v>359</v>
      </c>
      <c r="F24" s="7" t="s">
        <v>176</v>
      </c>
      <c r="G24" s="1">
        <v>3</v>
      </c>
      <c r="H24" s="1">
        <v>2</v>
      </c>
      <c r="I24" s="1">
        <v>4</v>
      </c>
      <c r="J24" s="11"/>
      <c r="K24" s="13">
        <f t="shared" si="10"/>
        <v>6</v>
      </c>
      <c r="L24" s="71" t="s">
        <v>355</v>
      </c>
      <c r="M24" s="47">
        <f t="shared" si="11"/>
        <v>4.5</v>
      </c>
      <c r="N24" s="13">
        <f t="shared" si="12"/>
        <v>40</v>
      </c>
      <c r="O24" s="13">
        <f t="shared" si="12"/>
        <v>80</v>
      </c>
      <c r="P24" s="13">
        <f t="shared" si="12"/>
        <v>0</v>
      </c>
      <c r="Q24" s="13">
        <f>SUM(N24:P24)</f>
        <v>120</v>
      </c>
      <c r="R24" s="13">
        <f t="shared" si="13"/>
        <v>90</v>
      </c>
      <c r="S24" s="53">
        <v>1</v>
      </c>
      <c r="T24" s="13">
        <f t="shared" si="14"/>
        <v>90</v>
      </c>
      <c r="U24" s="13">
        <f t="shared" si="15"/>
        <v>180</v>
      </c>
      <c r="V24" s="13">
        <f t="shared" si="16"/>
        <v>6</v>
      </c>
      <c r="W24" s="13">
        <f t="shared" si="17"/>
        <v>225</v>
      </c>
    </row>
    <row r="25" spans="2:23" x14ac:dyDescent="0.2">
      <c r="B25" s="7" t="s">
        <v>0</v>
      </c>
      <c r="C25" s="7">
        <v>18</v>
      </c>
      <c r="D25" s="44"/>
      <c r="E25" s="45" t="s">
        <v>360</v>
      </c>
      <c r="F25" s="7" t="s">
        <v>361</v>
      </c>
      <c r="G25" s="1">
        <v>3</v>
      </c>
      <c r="H25" s="1">
        <v>2</v>
      </c>
      <c r="I25" s="1">
        <v>4</v>
      </c>
      <c r="J25" s="11"/>
      <c r="K25" s="13">
        <f t="shared" si="10"/>
        <v>6</v>
      </c>
      <c r="L25" s="71" t="s">
        <v>355</v>
      </c>
      <c r="M25" s="47">
        <f t="shared" si="11"/>
        <v>4.5</v>
      </c>
      <c r="N25" s="13">
        <f t="shared" si="12"/>
        <v>40</v>
      </c>
      <c r="O25" s="13">
        <f t="shared" si="12"/>
        <v>80</v>
      </c>
      <c r="P25" s="13">
        <f t="shared" si="12"/>
        <v>0</v>
      </c>
      <c r="Q25" s="13">
        <f>SUM(N25:P25)</f>
        <v>120</v>
      </c>
      <c r="R25" s="13">
        <f t="shared" si="13"/>
        <v>90</v>
      </c>
      <c r="S25" s="53">
        <v>1</v>
      </c>
      <c r="T25" s="13">
        <f t="shared" si="14"/>
        <v>90</v>
      </c>
      <c r="U25" s="13">
        <f t="shared" si="15"/>
        <v>180</v>
      </c>
      <c r="V25" s="13">
        <f t="shared" si="16"/>
        <v>6</v>
      </c>
      <c r="W25" s="13">
        <f t="shared" si="17"/>
        <v>225</v>
      </c>
    </row>
    <row r="26" spans="2:23" x14ac:dyDescent="0.2">
      <c r="B26" s="7" t="s">
        <v>0</v>
      </c>
      <c r="C26" s="7">
        <v>20</v>
      </c>
      <c r="D26" s="44"/>
      <c r="E26" s="45" t="s">
        <v>362</v>
      </c>
      <c r="F26" s="7" t="s">
        <v>184</v>
      </c>
      <c r="G26" s="1">
        <v>4</v>
      </c>
      <c r="H26" s="1">
        <v>4</v>
      </c>
      <c r="I26" s="1">
        <v>2</v>
      </c>
      <c r="J26" s="11"/>
      <c r="K26" s="13">
        <f t="shared" si="10"/>
        <v>6</v>
      </c>
      <c r="L26" s="71" t="s">
        <v>340</v>
      </c>
      <c r="M26" s="47">
        <f t="shared" si="11"/>
        <v>4.5</v>
      </c>
      <c r="N26" s="13">
        <f t="shared" si="12"/>
        <v>80</v>
      </c>
      <c r="O26" s="13">
        <f t="shared" si="12"/>
        <v>40</v>
      </c>
      <c r="P26" s="13">
        <f t="shared" si="12"/>
        <v>0</v>
      </c>
      <c r="Q26" s="13">
        <f t="shared" ref="Q26:Q33" si="18">SUM(N26:P26)</f>
        <v>120</v>
      </c>
      <c r="R26" s="13">
        <f t="shared" si="13"/>
        <v>90</v>
      </c>
      <c r="S26" s="53">
        <v>1</v>
      </c>
      <c r="T26" s="13">
        <f t="shared" si="14"/>
        <v>90</v>
      </c>
      <c r="U26" s="13">
        <f t="shared" si="15"/>
        <v>180</v>
      </c>
      <c r="V26" s="13">
        <f t="shared" si="16"/>
        <v>6</v>
      </c>
      <c r="W26" s="13">
        <f t="shared" si="17"/>
        <v>225</v>
      </c>
    </row>
    <row r="27" spans="2:23" x14ac:dyDescent="0.2">
      <c r="B27" s="7" t="s">
        <v>0</v>
      </c>
      <c r="C27" s="7">
        <v>22</v>
      </c>
      <c r="D27" s="44"/>
      <c r="E27" s="45" t="s">
        <v>363</v>
      </c>
      <c r="F27" s="7" t="s">
        <v>364</v>
      </c>
      <c r="G27" s="1">
        <v>4</v>
      </c>
      <c r="H27" s="1">
        <v>4</v>
      </c>
      <c r="I27" s="1">
        <v>2</v>
      </c>
      <c r="J27" s="11"/>
      <c r="K27" s="13">
        <f t="shared" si="10"/>
        <v>6</v>
      </c>
      <c r="L27" s="71" t="s">
        <v>347</v>
      </c>
      <c r="M27" s="47">
        <f t="shared" si="11"/>
        <v>4.5</v>
      </c>
      <c r="N27" s="13">
        <f t="shared" si="12"/>
        <v>80</v>
      </c>
      <c r="O27" s="13">
        <f t="shared" si="12"/>
        <v>40</v>
      </c>
      <c r="P27" s="13">
        <f t="shared" si="12"/>
        <v>0</v>
      </c>
      <c r="Q27" s="13">
        <f t="shared" si="18"/>
        <v>120</v>
      </c>
      <c r="R27" s="13">
        <f t="shared" si="13"/>
        <v>90</v>
      </c>
      <c r="S27" s="53">
        <v>1</v>
      </c>
      <c r="T27" s="13">
        <f t="shared" si="14"/>
        <v>90</v>
      </c>
      <c r="U27" s="13">
        <f t="shared" si="15"/>
        <v>180</v>
      </c>
      <c r="V27" s="13">
        <f t="shared" si="16"/>
        <v>6</v>
      </c>
      <c r="W27" s="13">
        <f t="shared" si="17"/>
        <v>225</v>
      </c>
    </row>
    <row r="28" spans="2:23" x14ac:dyDescent="0.2">
      <c r="B28" s="7" t="s">
        <v>0</v>
      </c>
      <c r="C28" s="7">
        <v>23</v>
      </c>
      <c r="D28" s="44"/>
      <c r="E28" s="45" t="s">
        <v>365</v>
      </c>
      <c r="F28" s="7" t="s">
        <v>366</v>
      </c>
      <c r="G28" s="1">
        <v>4</v>
      </c>
      <c r="H28" s="1">
        <v>4</v>
      </c>
      <c r="I28" s="1">
        <v>2</v>
      </c>
      <c r="J28" s="11"/>
      <c r="K28" s="13">
        <f t="shared" si="10"/>
        <v>6</v>
      </c>
      <c r="L28" s="71" t="s">
        <v>360</v>
      </c>
      <c r="M28" s="47">
        <f t="shared" si="11"/>
        <v>4.5</v>
      </c>
      <c r="N28" s="13">
        <f t="shared" si="12"/>
        <v>80</v>
      </c>
      <c r="O28" s="13">
        <f t="shared" si="12"/>
        <v>40</v>
      </c>
      <c r="P28" s="13">
        <f t="shared" si="12"/>
        <v>0</v>
      </c>
      <c r="Q28" s="13">
        <f t="shared" si="18"/>
        <v>120</v>
      </c>
      <c r="R28" s="13">
        <f t="shared" si="13"/>
        <v>90</v>
      </c>
      <c r="S28" s="53">
        <v>1</v>
      </c>
      <c r="T28" s="13">
        <f t="shared" si="14"/>
        <v>90</v>
      </c>
      <c r="U28" s="13">
        <f t="shared" si="15"/>
        <v>180</v>
      </c>
      <c r="V28" s="13">
        <f t="shared" si="16"/>
        <v>6</v>
      </c>
      <c r="W28" s="13">
        <f t="shared" si="17"/>
        <v>225</v>
      </c>
    </row>
    <row r="29" spans="2:23" x14ac:dyDescent="0.2">
      <c r="B29" s="7" t="s">
        <v>0</v>
      </c>
      <c r="C29" s="7">
        <v>25</v>
      </c>
      <c r="D29" s="44" t="s">
        <v>367</v>
      </c>
      <c r="E29" s="45" t="s">
        <v>368</v>
      </c>
      <c r="F29" s="7" t="s">
        <v>199</v>
      </c>
      <c r="G29" s="1">
        <v>5</v>
      </c>
      <c r="H29" s="1">
        <v>4</v>
      </c>
      <c r="I29" s="1">
        <v>2</v>
      </c>
      <c r="J29" s="11"/>
      <c r="K29" s="13">
        <f t="shared" si="10"/>
        <v>6</v>
      </c>
      <c r="L29" s="71" t="s">
        <v>362</v>
      </c>
      <c r="M29" s="47">
        <f t="shared" si="11"/>
        <v>4.5</v>
      </c>
      <c r="N29" s="13">
        <f t="shared" si="12"/>
        <v>80</v>
      </c>
      <c r="O29" s="13">
        <f t="shared" si="12"/>
        <v>40</v>
      </c>
      <c r="P29" s="13">
        <f t="shared" si="12"/>
        <v>0</v>
      </c>
      <c r="Q29" s="13">
        <f t="shared" si="18"/>
        <v>120</v>
      </c>
      <c r="R29" s="13">
        <f t="shared" si="13"/>
        <v>90</v>
      </c>
      <c r="S29" s="53">
        <v>1</v>
      </c>
      <c r="T29" s="13">
        <f t="shared" si="14"/>
        <v>90</v>
      </c>
      <c r="U29" s="13">
        <f t="shared" si="15"/>
        <v>180</v>
      </c>
      <c r="V29" s="13">
        <f t="shared" si="16"/>
        <v>6</v>
      </c>
      <c r="W29" s="13">
        <f t="shared" si="17"/>
        <v>225</v>
      </c>
    </row>
    <row r="30" spans="2:23" x14ac:dyDescent="0.2">
      <c r="B30" s="7" t="s">
        <v>0</v>
      </c>
      <c r="C30" s="7">
        <v>26</v>
      </c>
      <c r="D30" s="44"/>
      <c r="E30" s="45" t="s">
        <v>369</v>
      </c>
      <c r="F30" s="7" t="s">
        <v>201</v>
      </c>
      <c r="G30" s="1">
        <v>5</v>
      </c>
      <c r="H30" s="1">
        <v>2</v>
      </c>
      <c r="I30" s="1">
        <v>4</v>
      </c>
      <c r="J30" s="11"/>
      <c r="K30" s="13">
        <f t="shared" si="10"/>
        <v>6</v>
      </c>
      <c r="L30" s="71" t="s">
        <v>359</v>
      </c>
      <c r="M30" s="47">
        <f t="shared" si="11"/>
        <v>4.5</v>
      </c>
      <c r="N30" s="13">
        <f t="shared" si="12"/>
        <v>40</v>
      </c>
      <c r="O30" s="13">
        <f t="shared" si="12"/>
        <v>80</v>
      </c>
      <c r="P30" s="13">
        <f t="shared" si="12"/>
        <v>0</v>
      </c>
      <c r="Q30" s="13">
        <f t="shared" si="18"/>
        <v>120</v>
      </c>
      <c r="R30" s="13">
        <f t="shared" si="13"/>
        <v>90</v>
      </c>
      <c r="S30" s="53">
        <v>1</v>
      </c>
      <c r="T30" s="13">
        <f t="shared" si="14"/>
        <v>90</v>
      </c>
      <c r="U30" s="13">
        <f t="shared" si="15"/>
        <v>180</v>
      </c>
      <c r="V30" s="13">
        <f t="shared" si="16"/>
        <v>6</v>
      </c>
      <c r="W30" s="13">
        <f t="shared" si="17"/>
        <v>225</v>
      </c>
    </row>
    <row r="31" spans="2:23" x14ac:dyDescent="0.2">
      <c r="B31" s="7" t="s">
        <v>0</v>
      </c>
      <c r="C31" s="7">
        <v>27</v>
      </c>
      <c r="D31" s="44"/>
      <c r="E31" s="45" t="s">
        <v>370</v>
      </c>
      <c r="F31" s="7" t="s">
        <v>371</v>
      </c>
      <c r="G31" s="1">
        <v>5</v>
      </c>
      <c r="H31" s="1">
        <v>2</v>
      </c>
      <c r="I31" s="1">
        <v>2</v>
      </c>
      <c r="J31" s="11"/>
      <c r="K31" s="13">
        <f t="shared" si="10"/>
        <v>4</v>
      </c>
      <c r="L31" s="71" t="s">
        <v>372</v>
      </c>
      <c r="M31" s="47">
        <f t="shared" si="11"/>
        <v>1.5</v>
      </c>
      <c r="N31" s="13">
        <f t="shared" si="12"/>
        <v>40</v>
      </c>
      <c r="O31" s="13">
        <f t="shared" si="12"/>
        <v>40</v>
      </c>
      <c r="P31" s="13">
        <f t="shared" si="12"/>
        <v>0</v>
      </c>
      <c r="Q31" s="13">
        <f t="shared" si="18"/>
        <v>80</v>
      </c>
      <c r="R31" s="13">
        <f t="shared" si="13"/>
        <v>60</v>
      </c>
      <c r="S31" s="53">
        <v>0.5</v>
      </c>
      <c r="T31" s="13">
        <f t="shared" si="14"/>
        <v>30</v>
      </c>
      <c r="U31" s="13">
        <f t="shared" si="15"/>
        <v>90</v>
      </c>
      <c r="V31" s="13">
        <f t="shared" si="16"/>
        <v>3</v>
      </c>
      <c r="W31" s="13">
        <f t="shared" si="17"/>
        <v>112.5</v>
      </c>
    </row>
    <row r="32" spans="2:23" x14ac:dyDescent="0.2">
      <c r="B32" s="7" t="s">
        <v>0</v>
      </c>
      <c r="C32" s="7">
        <v>28</v>
      </c>
      <c r="D32" s="44"/>
      <c r="E32" s="45" t="s">
        <v>373</v>
      </c>
      <c r="F32" s="72" t="s">
        <v>207</v>
      </c>
      <c r="G32" s="1">
        <v>5</v>
      </c>
      <c r="H32" s="1">
        <v>4</v>
      </c>
      <c r="I32" s="1">
        <v>2</v>
      </c>
      <c r="J32" s="11"/>
      <c r="K32" s="13">
        <f t="shared" si="10"/>
        <v>6</v>
      </c>
      <c r="L32" s="71" t="s">
        <v>374</v>
      </c>
      <c r="M32" s="47">
        <f t="shared" si="11"/>
        <v>4.5</v>
      </c>
      <c r="N32" s="13">
        <f t="shared" si="12"/>
        <v>80</v>
      </c>
      <c r="O32" s="13">
        <f t="shared" si="12"/>
        <v>40</v>
      </c>
      <c r="P32" s="13">
        <f t="shared" si="12"/>
        <v>0</v>
      </c>
      <c r="Q32" s="13">
        <f t="shared" si="18"/>
        <v>120</v>
      </c>
      <c r="R32" s="13">
        <f t="shared" si="13"/>
        <v>90</v>
      </c>
      <c r="S32" s="53">
        <v>1</v>
      </c>
      <c r="T32" s="13">
        <f t="shared" si="14"/>
        <v>90</v>
      </c>
      <c r="U32" s="13">
        <f t="shared" si="15"/>
        <v>180</v>
      </c>
      <c r="V32" s="13">
        <f t="shared" si="16"/>
        <v>6</v>
      </c>
      <c r="W32" s="13">
        <f t="shared" si="17"/>
        <v>225</v>
      </c>
    </row>
    <row r="33" spans="2:23" x14ac:dyDescent="0.2">
      <c r="B33" s="7" t="s">
        <v>0</v>
      </c>
      <c r="C33" s="7">
        <v>31</v>
      </c>
      <c r="D33" s="44" t="s">
        <v>375</v>
      </c>
      <c r="E33" s="45" t="s">
        <v>376</v>
      </c>
      <c r="F33" s="7" t="s">
        <v>218</v>
      </c>
      <c r="G33" s="1">
        <v>6</v>
      </c>
      <c r="H33" s="1">
        <v>2</v>
      </c>
      <c r="I33" s="1">
        <v>4</v>
      </c>
      <c r="J33" s="13"/>
      <c r="K33" s="13">
        <f t="shared" si="10"/>
        <v>6</v>
      </c>
      <c r="L33" s="46" t="s">
        <v>368</v>
      </c>
      <c r="M33" s="47">
        <f t="shared" si="11"/>
        <v>2.25</v>
      </c>
      <c r="N33" s="13">
        <f t="shared" si="12"/>
        <v>40</v>
      </c>
      <c r="O33" s="13">
        <f t="shared" si="12"/>
        <v>80</v>
      </c>
      <c r="P33" s="13">
        <f t="shared" si="12"/>
        <v>0</v>
      </c>
      <c r="Q33" s="13">
        <f t="shared" si="18"/>
        <v>120</v>
      </c>
      <c r="R33" s="13">
        <f t="shared" si="13"/>
        <v>90</v>
      </c>
      <c r="S33" s="53">
        <v>0.5</v>
      </c>
      <c r="T33" s="13">
        <f t="shared" si="14"/>
        <v>45</v>
      </c>
      <c r="U33" s="13">
        <f t="shared" si="15"/>
        <v>135</v>
      </c>
      <c r="V33" s="13">
        <f t="shared" si="16"/>
        <v>4.5</v>
      </c>
      <c r="W33" s="13">
        <f t="shared" si="17"/>
        <v>168.75</v>
      </c>
    </row>
    <row r="34" spans="2:23" x14ac:dyDescent="0.2">
      <c r="B34" s="73"/>
      <c r="C34" s="74" t="s">
        <v>377</v>
      </c>
      <c r="D34" s="75"/>
      <c r="E34" s="76"/>
      <c r="G34" s="55"/>
      <c r="H34" s="55">
        <f>SUM(H21:H33)</f>
        <v>40</v>
      </c>
      <c r="I34" s="55">
        <f>SUM(I21:I33)</f>
        <v>36</v>
      </c>
      <c r="J34" s="55">
        <f>SUM(J21:J33)</f>
        <v>0</v>
      </c>
      <c r="K34" s="55">
        <f>SUM(K21:K33)</f>
        <v>76</v>
      </c>
      <c r="L34" s="77"/>
      <c r="M34" s="77"/>
      <c r="N34" s="78">
        <f>SUM(N21:N33)</f>
        <v>800</v>
      </c>
      <c r="O34" s="78">
        <f t="shared" ref="O34:W34" si="19">SUM(O21:O33)</f>
        <v>720</v>
      </c>
      <c r="P34" s="78">
        <f t="shared" si="19"/>
        <v>0</v>
      </c>
      <c r="Q34" s="78">
        <f t="shared" si="19"/>
        <v>1520</v>
      </c>
      <c r="R34" s="78">
        <f t="shared" si="19"/>
        <v>1140</v>
      </c>
      <c r="S34" s="78">
        <f t="shared" si="19"/>
        <v>12</v>
      </c>
      <c r="T34" s="78">
        <f t="shared" si="19"/>
        <v>1065</v>
      </c>
      <c r="U34" s="78">
        <f t="shared" si="19"/>
        <v>2205</v>
      </c>
      <c r="V34" s="78">
        <f t="shared" si="19"/>
        <v>73.5</v>
      </c>
      <c r="W34" s="78">
        <f t="shared" si="19"/>
        <v>2756.25</v>
      </c>
    </row>
    <row r="35" spans="2:23" x14ac:dyDescent="0.2">
      <c r="B35" s="17"/>
      <c r="C35" s="79"/>
      <c r="D35" s="80"/>
      <c r="E35" s="81"/>
      <c r="F35" s="17"/>
      <c r="G35" s="60"/>
      <c r="H35" s="60"/>
      <c r="I35" s="60"/>
      <c r="J35" s="60"/>
      <c r="K35" s="60"/>
      <c r="L35" s="82"/>
      <c r="M35" s="82"/>
      <c r="N35" s="83"/>
      <c r="O35" s="83"/>
      <c r="P35" s="83"/>
      <c r="Q35" s="83"/>
      <c r="R35" s="83"/>
      <c r="S35" s="83"/>
      <c r="T35" s="83"/>
      <c r="U35" s="83"/>
      <c r="V35" s="83"/>
      <c r="W35" s="83"/>
    </row>
    <row r="36" spans="2:23" x14ac:dyDescent="0.2">
      <c r="B36" s="31" t="s">
        <v>378</v>
      </c>
      <c r="C36" s="62"/>
      <c r="D36" s="63"/>
      <c r="E36" s="64"/>
      <c r="F36" s="62"/>
      <c r="G36" s="65"/>
      <c r="H36" s="65"/>
      <c r="I36" s="65"/>
      <c r="J36" s="10"/>
      <c r="K36" s="10"/>
      <c r="L36" s="66"/>
      <c r="M36" s="66"/>
      <c r="N36" s="62"/>
      <c r="O36" s="62"/>
      <c r="P36" s="62"/>
      <c r="Q36" s="62"/>
      <c r="R36" s="62"/>
      <c r="S36" s="62"/>
      <c r="T36" s="62"/>
      <c r="U36" s="62"/>
      <c r="V36" s="62"/>
      <c r="W36" s="62"/>
    </row>
    <row r="37" spans="2:23" ht="40.5" x14ac:dyDescent="0.2">
      <c r="B37" s="38" t="s">
        <v>299</v>
      </c>
      <c r="C37" s="67" t="s">
        <v>300</v>
      </c>
      <c r="D37" s="38" t="s">
        <v>301</v>
      </c>
      <c r="E37" s="67" t="s">
        <v>102</v>
      </c>
      <c r="F37" s="38" t="s">
        <v>1</v>
      </c>
      <c r="G37" s="68" t="s">
        <v>302</v>
      </c>
      <c r="H37" s="69" t="s">
        <v>303</v>
      </c>
      <c r="I37" s="69" t="s">
        <v>304</v>
      </c>
      <c r="J37" s="69" t="s">
        <v>305</v>
      </c>
      <c r="K37" s="69" t="s">
        <v>353</v>
      </c>
      <c r="L37" s="70" t="s">
        <v>307</v>
      </c>
      <c r="M37" s="70"/>
      <c r="N37" s="69" t="s">
        <v>309</v>
      </c>
      <c r="O37" s="69" t="s">
        <v>310</v>
      </c>
      <c r="P37" s="69" t="s">
        <v>311</v>
      </c>
      <c r="Q37" s="69" t="s">
        <v>312</v>
      </c>
      <c r="R37" s="69" t="s">
        <v>313</v>
      </c>
      <c r="S37" s="69" t="s">
        <v>314</v>
      </c>
      <c r="T37" s="69" t="s">
        <v>354</v>
      </c>
      <c r="U37" s="69" t="s">
        <v>316</v>
      </c>
      <c r="V37" s="69" t="s">
        <v>317</v>
      </c>
      <c r="W37" s="69" t="s">
        <v>318</v>
      </c>
    </row>
    <row r="38" spans="2:23" x14ac:dyDescent="0.2">
      <c r="B38" s="7" t="s">
        <v>379</v>
      </c>
      <c r="C38" s="7">
        <v>5</v>
      </c>
      <c r="D38" s="44"/>
      <c r="E38" s="45" t="s">
        <v>380</v>
      </c>
      <c r="F38" s="7" t="s">
        <v>134</v>
      </c>
      <c r="G38" s="1">
        <v>1</v>
      </c>
      <c r="H38" s="1">
        <v>3</v>
      </c>
      <c r="I38" s="1">
        <v>3</v>
      </c>
      <c r="J38" s="7"/>
      <c r="K38" s="13">
        <f t="shared" ref="K38:K46" si="20">SUM(H38:J38)</f>
        <v>6</v>
      </c>
      <c r="L38" s="46" t="s">
        <v>321</v>
      </c>
      <c r="M38" s="47">
        <f t="shared" ref="M38:M46" si="21">S38*0.75*K38</f>
        <v>2.25</v>
      </c>
      <c r="N38" s="13">
        <f t="shared" ref="N38:P46" si="22">H38*$N$5</f>
        <v>60</v>
      </c>
      <c r="O38" s="13">
        <f t="shared" si="22"/>
        <v>60</v>
      </c>
      <c r="P38" s="13">
        <f t="shared" si="22"/>
        <v>0</v>
      </c>
      <c r="Q38" s="13">
        <f t="shared" ref="Q38:Q46" si="23">SUM(N38:P38)</f>
        <v>120</v>
      </c>
      <c r="R38" s="13">
        <f t="shared" ref="R38:R46" si="24">Q38*0.75</f>
        <v>90</v>
      </c>
      <c r="S38" s="13">
        <v>0.5</v>
      </c>
      <c r="T38" s="13">
        <f t="shared" ref="T38:T46" si="25">S38*R38</f>
        <v>45</v>
      </c>
      <c r="U38" s="13">
        <f t="shared" ref="U38:U46" si="26">T38+R38</f>
        <v>135</v>
      </c>
      <c r="V38" s="13">
        <f t="shared" ref="V38:V46" si="27">U38/30</f>
        <v>4.5</v>
      </c>
      <c r="W38" s="13">
        <f t="shared" ref="W38:W46" si="28">U38*1.25</f>
        <v>168.75</v>
      </c>
    </row>
    <row r="39" spans="2:23" x14ac:dyDescent="0.2">
      <c r="B39" s="7" t="s">
        <v>379</v>
      </c>
      <c r="C39" s="7">
        <v>6</v>
      </c>
      <c r="D39" s="44"/>
      <c r="E39" s="45" t="s">
        <v>381</v>
      </c>
      <c r="F39" s="7" t="s">
        <v>138</v>
      </c>
      <c r="G39" s="1">
        <v>1</v>
      </c>
      <c r="H39" s="1">
        <v>3</v>
      </c>
      <c r="I39" s="1">
        <v>3</v>
      </c>
      <c r="J39" s="13"/>
      <c r="K39" s="13">
        <f t="shared" si="20"/>
        <v>6</v>
      </c>
      <c r="L39" s="46" t="s">
        <v>321</v>
      </c>
      <c r="M39" s="47">
        <f t="shared" si="21"/>
        <v>2.25</v>
      </c>
      <c r="N39" s="13">
        <f t="shared" si="22"/>
        <v>60</v>
      </c>
      <c r="O39" s="13">
        <f t="shared" si="22"/>
        <v>60</v>
      </c>
      <c r="P39" s="13">
        <f t="shared" si="22"/>
        <v>0</v>
      </c>
      <c r="Q39" s="13">
        <f t="shared" si="23"/>
        <v>120</v>
      </c>
      <c r="R39" s="13">
        <f t="shared" si="24"/>
        <v>90</v>
      </c>
      <c r="S39" s="13">
        <v>0.5</v>
      </c>
      <c r="T39" s="13">
        <f t="shared" si="25"/>
        <v>45</v>
      </c>
      <c r="U39" s="13">
        <f t="shared" si="26"/>
        <v>135</v>
      </c>
      <c r="V39" s="13">
        <f t="shared" si="27"/>
        <v>4.5</v>
      </c>
      <c r="W39" s="13">
        <f t="shared" si="28"/>
        <v>168.75</v>
      </c>
    </row>
    <row r="40" spans="2:23" x14ac:dyDescent="0.2">
      <c r="B40" s="7" t="s">
        <v>379</v>
      </c>
      <c r="C40" s="7">
        <v>11</v>
      </c>
      <c r="D40" s="44"/>
      <c r="E40" s="45" t="s">
        <v>382</v>
      </c>
      <c r="F40" s="7" t="s">
        <v>156</v>
      </c>
      <c r="G40" s="1">
        <v>2</v>
      </c>
      <c r="H40" s="1">
        <v>4</v>
      </c>
      <c r="I40" s="1">
        <v>2</v>
      </c>
      <c r="J40" s="7"/>
      <c r="K40" s="13">
        <f t="shared" si="20"/>
        <v>6</v>
      </c>
      <c r="L40" s="46" t="s">
        <v>380</v>
      </c>
      <c r="M40" s="47">
        <f t="shared" si="21"/>
        <v>2.25</v>
      </c>
      <c r="N40" s="13">
        <f t="shared" si="22"/>
        <v>80</v>
      </c>
      <c r="O40" s="13">
        <f t="shared" si="22"/>
        <v>40</v>
      </c>
      <c r="P40" s="13">
        <f t="shared" si="22"/>
        <v>0</v>
      </c>
      <c r="Q40" s="13">
        <f t="shared" si="23"/>
        <v>120</v>
      </c>
      <c r="R40" s="13">
        <f t="shared" si="24"/>
        <v>90</v>
      </c>
      <c r="S40" s="13">
        <v>0.5</v>
      </c>
      <c r="T40" s="13">
        <f t="shared" si="25"/>
        <v>45</v>
      </c>
      <c r="U40" s="13">
        <f t="shared" si="26"/>
        <v>135</v>
      </c>
      <c r="V40" s="13">
        <f t="shared" si="27"/>
        <v>4.5</v>
      </c>
      <c r="W40" s="13">
        <f t="shared" si="28"/>
        <v>168.75</v>
      </c>
    </row>
    <row r="41" spans="2:23" x14ac:dyDescent="0.2">
      <c r="B41" s="7" t="s">
        <v>379</v>
      </c>
      <c r="C41" s="7">
        <v>12</v>
      </c>
      <c r="D41" s="44"/>
      <c r="E41" s="45" t="s">
        <v>383</v>
      </c>
      <c r="F41" s="7" t="s">
        <v>162</v>
      </c>
      <c r="G41" s="1">
        <v>2</v>
      </c>
      <c r="H41" s="1">
        <v>3</v>
      </c>
      <c r="I41" s="1">
        <v>3</v>
      </c>
      <c r="J41" s="13"/>
      <c r="K41" s="13">
        <f t="shared" si="20"/>
        <v>6</v>
      </c>
      <c r="L41" s="46" t="s">
        <v>381</v>
      </c>
      <c r="M41" s="47">
        <f t="shared" si="21"/>
        <v>2.25</v>
      </c>
      <c r="N41" s="13">
        <f t="shared" si="22"/>
        <v>60</v>
      </c>
      <c r="O41" s="13">
        <f t="shared" si="22"/>
        <v>60</v>
      </c>
      <c r="P41" s="13">
        <f t="shared" si="22"/>
        <v>0</v>
      </c>
      <c r="Q41" s="13">
        <f t="shared" si="23"/>
        <v>120</v>
      </c>
      <c r="R41" s="13">
        <f t="shared" si="24"/>
        <v>90</v>
      </c>
      <c r="S41" s="13">
        <v>0.5</v>
      </c>
      <c r="T41" s="13">
        <f t="shared" si="25"/>
        <v>45</v>
      </c>
      <c r="U41" s="13">
        <f t="shared" si="26"/>
        <v>135</v>
      </c>
      <c r="V41" s="13">
        <f t="shared" si="27"/>
        <v>4.5</v>
      </c>
      <c r="W41" s="13">
        <f t="shared" si="28"/>
        <v>168.75</v>
      </c>
    </row>
    <row r="42" spans="2:23" x14ac:dyDescent="0.2">
      <c r="B42" s="7" t="s">
        <v>379</v>
      </c>
      <c r="C42" s="7">
        <v>21</v>
      </c>
      <c r="D42" s="44"/>
      <c r="E42" s="72" t="s">
        <v>384</v>
      </c>
      <c r="F42" s="7" t="s">
        <v>187</v>
      </c>
      <c r="G42" s="1">
        <v>4</v>
      </c>
      <c r="H42" s="1">
        <v>4</v>
      </c>
      <c r="I42" s="1">
        <v>2</v>
      </c>
      <c r="J42" s="84"/>
      <c r="K42" s="13">
        <f>SUM(H42:J42)</f>
        <v>6</v>
      </c>
      <c r="L42" s="85" t="s">
        <v>382</v>
      </c>
      <c r="M42" s="47">
        <f t="shared" si="21"/>
        <v>2.25</v>
      </c>
      <c r="N42" s="13">
        <f t="shared" si="22"/>
        <v>80</v>
      </c>
      <c r="O42" s="13">
        <f t="shared" si="22"/>
        <v>40</v>
      </c>
      <c r="P42" s="13">
        <f t="shared" si="22"/>
        <v>0</v>
      </c>
      <c r="Q42" s="13">
        <f t="shared" si="23"/>
        <v>120</v>
      </c>
      <c r="R42" s="13">
        <f t="shared" si="24"/>
        <v>90</v>
      </c>
      <c r="S42" s="13">
        <v>0.5</v>
      </c>
      <c r="T42" s="13">
        <f t="shared" si="25"/>
        <v>45</v>
      </c>
      <c r="U42" s="13">
        <f t="shared" si="26"/>
        <v>135</v>
      </c>
      <c r="V42" s="13">
        <f t="shared" si="27"/>
        <v>4.5</v>
      </c>
      <c r="W42" s="13">
        <f t="shared" si="28"/>
        <v>168.75</v>
      </c>
    </row>
    <row r="43" spans="2:23" x14ac:dyDescent="0.2">
      <c r="B43" s="7" t="s">
        <v>379</v>
      </c>
      <c r="C43" s="7">
        <v>24</v>
      </c>
      <c r="D43" s="44"/>
      <c r="E43" s="45" t="s">
        <v>372</v>
      </c>
      <c r="F43" s="7" t="s">
        <v>194</v>
      </c>
      <c r="G43" s="1">
        <v>4</v>
      </c>
      <c r="H43" s="1">
        <v>2</v>
      </c>
      <c r="I43" s="1">
        <v>2</v>
      </c>
      <c r="J43" s="7"/>
      <c r="K43" s="13">
        <f t="shared" si="20"/>
        <v>4</v>
      </c>
      <c r="L43" s="71" t="s">
        <v>374</v>
      </c>
      <c r="M43" s="47">
        <f t="shared" si="21"/>
        <v>3</v>
      </c>
      <c r="N43" s="13">
        <f t="shared" si="22"/>
        <v>40</v>
      </c>
      <c r="O43" s="13">
        <f t="shared" si="22"/>
        <v>40</v>
      </c>
      <c r="P43" s="13">
        <f t="shared" si="22"/>
        <v>0</v>
      </c>
      <c r="Q43" s="13">
        <f t="shared" si="23"/>
        <v>80</v>
      </c>
      <c r="R43" s="13">
        <f t="shared" si="24"/>
        <v>60</v>
      </c>
      <c r="S43" s="53">
        <v>1</v>
      </c>
      <c r="T43" s="13">
        <f t="shared" si="25"/>
        <v>60</v>
      </c>
      <c r="U43" s="13">
        <f t="shared" si="26"/>
        <v>120</v>
      </c>
      <c r="V43" s="13">
        <f t="shared" si="27"/>
        <v>4</v>
      </c>
      <c r="W43" s="13">
        <f t="shared" si="28"/>
        <v>150</v>
      </c>
    </row>
    <row r="44" spans="2:23" x14ac:dyDescent="0.2">
      <c r="B44" s="7" t="s">
        <v>379</v>
      </c>
      <c r="C44" s="7">
        <v>40</v>
      </c>
      <c r="D44" s="44"/>
      <c r="E44" s="72" t="s">
        <v>385</v>
      </c>
      <c r="F44" s="72" t="s">
        <v>239</v>
      </c>
      <c r="G44" s="13">
        <v>7</v>
      </c>
      <c r="H44" s="13">
        <v>2</v>
      </c>
      <c r="I44" s="13">
        <v>2</v>
      </c>
      <c r="J44" s="7"/>
      <c r="K44" s="13">
        <f t="shared" si="20"/>
        <v>4</v>
      </c>
      <c r="L44" s="85" t="s">
        <v>386</v>
      </c>
      <c r="M44" s="47">
        <f t="shared" si="21"/>
        <v>3</v>
      </c>
      <c r="N44" s="13">
        <f t="shared" si="22"/>
        <v>40</v>
      </c>
      <c r="O44" s="13">
        <f t="shared" si="22"/>
        <v>40</v>
      </c>
      <c r="P44" s="13">
        <f t="shared" si="22"/>
        <v>0</v>
      </c>
      <c r="Q44" s="13">
        <f t="shared" si="23"/>
        <v>80</v>
      </c>
      <c r="R44" s="13">
        <f t="shared" si="24"/>
        <v>60</v>
      </c>
      <c r="S44" s="13">
        <v>1</v>
      </c>
      <c r="T44" s="13">
        <f t="shared" si="25"/>
        <v>60</v>
      </c>
      <c r="U44" s="13">
        <f t="shared" si="26"/>
        <v>120</v>
      </c>
      <c r="V44" s="13">
        <f t="shared" si="27"/>
        <v>4</v>
      </c>
      <c r="W44" s="13">
        <f t="shared" si="28"/>
        <v>150</v>
      </c>
    </row>
    <row r="45" spans="2:23" x14ac:dyDescent="0.2">
      <c r="B45" s="7" t="s">
        <v>379</v>
      </c>
      <c r="C45" s="7">
        <v>41</v>
      </c>
      <c r="D45" s="44"/>
      <c r="E45" s="45" t="s">
        <v>387</v>
      </c>
      <c r="F45" s="7" t="s">
        <v>242</v>
      </c>
      <c r="G45" s="1">
        <v>7</v>
      </c>
      <c r="H45" s="1">
        <v>2</v>
      </c>
      <c r="I45" s="1">
        <v>2</v>
      </c>
      <c r="J45" s="7"/>
      <c r="K45" s="13">
        <f t="shared" si="20"/>
        <v>4</v>
      </c>
      <c r="L45" s="46" t="s">
        <v>370</v>
      </c>
      <c r="M45" s="47">
        <f t="shared" si="21"/>
        <v>3</v>
      </c>
      <c r="N45" s="13">
        <f t="shared" si="22"/>
        <v>40</v>
      </c>
      <c r="O45" s="13">
        <f t="shared" si="22"/>
        <v>40</v>
      </c>
      <c r="P45" s="13">
        <f t="shared" si="22"/>
        <v>0</v>
      </c>
      <c r="Q45" s="13">
        <f t="shared" si="23"/>
        <v>80</v>
      </c>
      <c r="R45" s="13">
        <f t="shared" si="24"/>
        <v>60</v>
      </c>
      <c r="S45" s="13">
        <v>1</v>
      </c>
      <c r="T45" s="13">
        <f t="shared" si="25"/>
        <v>60</v>
      </c>
      <c r="U45" s="13">
        <f t="shared" si="26"/>
        <v>120</v>
      </c>
      <c r="V45" s="13">
        <f t="shared" si="27"/>
        <v>4</v>
      </c>
      <c r="W45" s="13">
        <f t="shared" si="28"/>
        <v>150</v>
      </c>
    </row>
    <row r="46" spans="2:23" x14ac:dyDescent="0.2">
      <c r="B46" s="7" t="s">
        <v>379</v>
      </c>
      <c r="C46" s="7">
        <v>42</v>
      </c>
      <c r="D46" s="44"/>
      <c r="E46" s="45" t="s">
        <v>388</v>
      </c>
      <c r="F46" s="7" t="s">
        <v>245</v>
      </c>
      <c r="G46" s="1">
        <v>7</v>
      </c>
      <c r="H46" s="1">
        <v>2</v>
      </c>
      <c r="I46" s="1">
        <v>4</v>
      </c>
      <c r="J46" s="7"/>
      <c r="K46" s="13">
        <f t="shared" si="20"/>
        <v>6</v>
      </c>
      <c r="L46" s="46" t="s">
        <v>370</v>
      </c>
      <c r="M46" s="47">
        <f t="shared" si="21"/>
        <v>4.5</v>
      </c>
      <c r="N46" s="13">
        <f t="shared" si="22"/>
        <v>40</v>
      </c>
      <c r="O46" s="13">
        <f t="shared" si="22"/>
        <v>80</v>
      </c>
      <c r="P46" s="13">
        <f t="shared" si="22"/>
        <v>0</v>
      </c>
      <c r="Q46" s="13">
        <f t="shared" si="23"/>
        <v>120</v>
      </c>
      <c r="R46" s="13">
        <f t="shared" si="24"/>
        <v>90</v>
      </c>
      <c r="S46" s="13">
        <v>1</v>
      </c>
      <c r="T46" s="13">
        <f t="shared" si="25"/>
        <v>90</v>
      </c>
      <c r="U46" s="13">
        <f t="shared" si="26"/>
        <v>180</v>
      </c>
      <c r="V46" s="13">
        <f t="shared" si="27"/>
        <v>6</v>
      </c>
      <c r="W46" s="13">
        <f t="shared" si="28"/>
        <v>225</v>
      </c>
    </row>
    <row r="47" spans="2:23" x14ac:dyDescent="0.2">
      <c r="B47" s="73"/>
      <c r="C47" s="74" t="s">
        <v>389</v>
      </c>
      <c r="D47" s="75"/>
      <c r="E47" s="76"/>
      <c r="G47" s="55"/>
      <c r="H47" s="55">
        <f>SUM(H38:H46)</f>
        <v>25</v>
      </c>
      <c r="I47" s="55">
        <f>SUM(I38:I46)</f>
        <v>23</v>
      </c>
      <c r="J47" s="55">
        <f>SUM(J38:J46)</f>
        <v>0</v>
      </c>
      <c r="K47" s="55">
        <f>SUM(K38:K46)</f>
        <v>48</v>
      </c>
      <c r="L47" s="77"/>
      <c r="M47" s="47"/>
      <c r="N47" s="78">
        <f>SUM(N38:N46)</f>
        <v>500</v>
      </c>
      <c r="O47" s="78">
        <f t="shared" ref="O47:W47" si="29">SUM(O38:O46)</f>
        <v>460</v>
      </c>
      <c r="P47" s="78">
        <f t="shared" si="29"/>
        <v>0</v>
      </c>
      <c r="Q47" s="78">
        <f t="shared" si="29"/>
        <v>960</v>
      </c>
      <c r="R47" s="78">
        <f t="shared" si="29"/>
        <v>720</v>
      </c>
      <c r="S47" s="78">
        <f t="shared" si="29"/>
        <v>6.5</v>
      </c>
      <c r="T47" s="78">
        <f t="shared" si="29"/>
        <v>495</v>
      </c>
      <c r="U47" s="78">
        <f t="shared" si="29"/>
        <v>1215</v>
      </c>
      <c r="V47" s="78">
        <f t="shared" si="29"/>
        <v>40.5</v>
      </c>
      <c r="W47" s="78">
        <f t="shared" si="29"/>
        <v>1518.75</v>
      </c>
    </row>
    <row r="48" spans="2:23" x14ac:dyDescent="0.2">
      <c r="B48" s="17"/>
      <c r="C48" s="79"/>
      <c r="D48" s="80"/>
      <c r="E48" s="81"/>
      <c r="F48" s="17"/>
      <c r="G48" s="60"/>
      <c r="H48" s="60"/>
      <c r="I48" s="60"/>
      <c r="J48" s="60"/>
      <c r="K48" s="60"/>
      <c r="L48" s="82"/>
      <c r="M48" s="82"/>
      <c r="N48" s="83"/>
      <c r="O48" s="83"/>
      <c r="P48" s="83"/>
      <c r="Q48" s="83"/>
      <c r="R48" s="83"/>
      <c r="S48" s="83"/>
      <c r="T48" s="83"/>
      <c r="U48" s="83"/>
      <c r="V48" s="83"/>
      <c r="W48" s="83"/>
    </row>
    <row r="49" spans="2:30" x14ac:dyDescent="0.2">
      <c r="B49" s="31" t="s">
        <v>390</v>
      </c>
      <c r="C49" s="62"/>
      <c r="D49" s="63"/>
      <c r="E49" s="64"/>
      <c r="F49" s="62"/>
      <c r="G49" s="65"/>
      <c r="H49" s="65"/>
      <c r="I49" s="65"/>
      <c r="J49" s="62"/>
      <c r="K49" s="10"/>
      <c r="L49" s="66"/>
      <c r="M49" s="66"/>
      <c r="N49" s="62"/>
      <c r="O49" s="62"/>
      <c r="P49" s="62"/>
      <c r="Q49" s="62"/>
      <c r="R49" s="62"/>
      <c r="S49" s="62"/>
      <c r="T49" s="62"/>
      <c r="U49" s="62"/>
      <c r="V49" s="62"/>
      <c r="W49" s="62"/>
    </row>
    <row r="50" spans="2:30" ht="40.5" x14ac:dyDescent="0.2">
      <c r="B50" s="38" t="s">
        <v>299</v>
      </c>
      <c r="C50" s="39" t="s">
        <v>300</v>
      </c>
      <c r="D50" s="40" t="s">
        <v>301</v>
      </c>
      <c r="E50" s="39" t="s">
        <v>102</v>
      </c>
      <c r="F50" s="40" t="s">
        <v>1</v>
      </c>
      <c r="G50" s="41" t="s">
        <v>302</v>
      </c>
      <c r="H50" s="42" t="s">
        <v>303</v>
      </c>
      <c r="I50" s="42" t="s">
        <v>304</v>
      </c>
      <c r="J50" s="42" t="s">
        <v>305</v>
      </c>
      <c r="K50" s="42" t="s">
        <v>353</v>
      </c>
      <c r="L50" s="86" t="s">
        <v>307</v>
      </c>
      <c r="M50" s="86"/>
      <c r="N50" s="42" t="s">
        <v>309</v>
      </c>
      <c r="O50" s="42" t="s">
        <v>310</v>
      </c>
      <c r="P50" s="42" t="s">
        <v>311</v>
      </c>
      <c r="Q50" s="42" t="s">
        <v>312</v>
      </c>
      <c r="R50" s="42" t="s">
        <v>313</v>
      </c>
      <c r="S50" s="42" t="s">
        <v>314</v>
      </c>
      <c r="T50" s="42" t="s">
        <v>354</v>
      </c>
      <c r="U50" s="42" t="s">
        <v>316</v>
      </c>
      <c r="V50" s="42" t="s">
        <v>317</v>
      </c>
      <c r="W50" s="42" t="s">
        <v>318</v>
      </c>
    </row>
    <row r="51" spans="2:30" x14ac:dyDescent="0.2">
      <c r="B51" s="7" t="s">
        <v>209</v>
      </c>
      <c r="C51" s="7">
        <v>29</v>
      </c>
      <c r="D51" s="44"/>
      <c r="E51" s="72" t="s">
        <v>391</v>
      </c>
      <c r="F51" s="72" t="s">
        <v>210</v>
      </c>
      <c r="G51" s="1">
        <v>5</v>
      </c>
      <c r="H51" s="1">
        <v>4</v>
      </c>
      <c r="I51" s="1">
        <v>2</v>
      </c>
      <c r="J51" s="84"/>
      <c r="K51" s="13">
        <f t="shared" ref="K51:K60" si="30">SUM(H51:J51)</f>
        <v>6</v>
      </c>
      <c r="L51" s="85" t="s">
        <v>359</v>
      </c>
      <c r="M51" s="47">
        <f t="shared" ref="M51:M60" si="31">S51*0.75*K51</f>
        <v>4.5</v>
      </c>
      <c r="N51" s="13">
        <f t="shared" ref="N51:P60" si="32">H51*$N$5</f>
        <v>80</v>
      </c>
      <c r="O51" s="13">
        <f t="shared" si="32"/>
        <v>40</v>
      </c>
      <c r="P51" s="13">
        <f t="shared" si="32"/>
        <v>0</v>
      </c>
      <c r="Q51" s="13">
        <f t="shared" ref="Q51:Q60" si="33">SUM(N51:P51)</f>
        <v>120</v>
      </c>
      <c r="R51" s="13">
        <f t="shared" ref="R51:R60" si="34">Q51*0.75</f>
        <v>90</v>
      </c>
      <c r="S51" s="13">
        <v>1</v>
      </c>
      <c r="T51" s="13">
        <f t="shared" ref="T51:T60" si="35">S51*R51</f>
        <v>90</v>
      </c>
      <c r="U51" s="13">
        <f t="shared" ref="U51:U60" si="36">T51+R51</f>
        <v>180</v>
      </c>
      <c r="V51" s="13">
        <f t="shared" ref="V51:V60" si="37">U51/30</f>
        <v>6</v>
      </c>
      <c r="W51" s="13">
        <f t="shared" ref="W51:W60" si="38">U51*1.25</f>
        <v>225</v>
      </c>
      <c r="X51" s="14"/>
      <c r="Y51" s="13"/>
      <c r="Z51" s="13"/>
      <c r="AA51" s="13"/>
      <c r="AB51" s="13"/>
      <c r="AC51" s="13"/>
      <c r="AD51" s="13"/>
    </row>
    <row r="52" spans="2:30" x14ac:dyDescent="0.2">
      <c r="B52" s="7" t="s">
        <v>209</v>
      </c>
      <c r="C52" s="7">
        <v>30</v>
      </c>
      <c r="D52" s="44"/>
      <c r="E52" s="72" t="s">
        <v>392</v>
      </c>
      <c r="F52" s="72" t="s">
        <v>393</v>
      </c>
      <c r="G52" s="1">
        <v>5</v>
      </c>
      <c r="H52" s="1">
        <v>4</v>
      </c>
      <c r="I52" s="1">
        <v>2</v>
      </c>
      <c r="J52" s="84"/>
      <c r="K52" s="13">
        <f t="shared" si="30"/>
        <v>6</v>
      </c>
      <c r="L52" s="87" t="s">
        <v>350</v>
      </c>
      <c r="M52" s="47">
        <f t="shared" si="31"/>
        <v>4.5</v>
      </c>
      <c r="N52" s="13">
        <f t="shared" si="32"/>
        <v>80</v>
      </c>
      <c r="O52" s="13">
        <f t="shared" si="32"/>
        <v>40</v>
      </c>
      <c r="P52" s="13">
        <f t="shared" si="32"/>
        <v>0</v>
      </c>
      <c r="Q52" s="13">
        <f t="shared" si="33"/>
        <v>120</v>
      </c>
      <c r="R52" s="13">
        <f t="shared" si="34"/>
        <v>90</v>
      </c>
      <c r="S52" s="53">
        <v>1</v>
      </c>
      <c r="T52" s="13">
        <f t="shared" si="35"/>
        <v>90</v>
      </c>
      <c r="U52" s="13">
        <f t="shared" si="36"/>
        <v>180</v>
      </c>
      <c r="V52" s="13">
        <f t="shared" si="37"/>
        <v>6</v>
      </c>
      <c r="W52" s="13">
        <f t="shared" si="38"/>
        <v>225</v>
      </c>
    </row>
    <row r="53" spans="2:30" x14ac:dyDescent="0.2">
      <c r="B53" s="7" t="s">
        <v>209</v>
      </c>
      <c r="C53" s="7">
        <v>32</v>
      </c>
      <c r="D53" s="44"/>
      <c r="E53" s="72" t="s">
        <v>394</v>
      </c>
      <c r="F53" s="88" t="s">
        <v>221</v>
      </c>
      <c r="G53" s="1">
        <v>6</v>
      </c>
      <c r="H53" s="1">
        <v>4</v>
      </c>
      <c r="I53" s="1">
        <v>2</v>
      </c>
      <c r="J53" s="84"/>
      <c r="K53" s="13">
        <f t="shared" si="30"/>
        <v>6</v>
      </c>
      <c r="L53" s="87" t="s">
        <v>358</v>
      </c>
      <c r="M53" s="47">
        <f t="shared" si="31"/>
        <v>4.5</v>
      </c>
      <c r="N53" s="13">
        <f t="shared" si="32"/>
        <v>80</v>
      </c>
      <c r="O53" s="13">
        <f t="shared" si="32"/>
        <v>40</v>
      </c>
      <c r="P53" s="13">
        <f t="shared" si="32"/>
        <v>0</v>
      </c>
      <c r="Q53" s="13">
        <f t="shared" si="33"/>
        <v>120</v>
      </c>
      <c r="R53" s="13">
        <f t="shared" si="34"/>
        <v>90</v>
      </c>
      <c r="S53" s="53">
        <v>1</v>
      </c>
      <c r="T53" s="13">
        <f t="shared" si="35"/>
        <v>90</v>
      </c>
      <c r="U53" s="13">
        <f t="shared" si="36"/>
        <v>180</v>
      </c>
      <c r="V53" s="13">
        <f t="shared" si="37"/>
        <v>6</v>
      </c>
      <c r="W53" s="13">
        <f t="shared" si="38"/>
        <v>225</v>
      </c>
    </row>
    <row r="54" spans="2:30" x14ac:dyDescent="0.2">
      <c r="B54" s="7" t="s">
        <v>209</v>
      </c>
      <c r="C54" s="7">
        <v>33</v>
      </c>
      <c r="D54" s="44"/>
      <c r="E54" s="72" t="s">
        <v>386</v>
      </c>
      <c r="F54" s="72" t="s">
        <v>223</v>
      </c>
      <c r="G54" s="1">
        <v>6</v>
      </c>
      <c r="H54" s="1">
        <v>2</v>
      </c>
      <c r="I54" s="1">
        <v>2</v>
      </c>
      <c r="J54" s="84">
        <v>2</v>
      </c>
      <c r="K54" s="13">
        <f t="shared" si="30"/>
        <v>6</v>
      </c>
      <c r="L54" s="89" t="s">
        <v>368</v>
      </c>
      <c r="M54" s="47">
        <f t="shared" si="31"/>
        <v>4.5</v>
      </c>
      <c r="N54" s="13">
        <f t="shared" si="32"/>
        <v>40</v>
      </c>
      <c r="O54" s="13">
        <f t="shared" si="32"/>
        <v>40</v>
      </c>
      <c r="P54" s="13">
        <f t="shared" si="32"/>
        <v>40</v>
      </c>
      <c r="Q54" s="13">
        <f t="shared" si="33"/>
        <v>120</v>
      </c>
      <c r="R54" s="13">
        <f t="shared" si="34"/>
        <v>90</v>
      </c>
      <c r="S54" s="1">
        <v>1</v>
      </c>
      <c r="T54" s="13">
        <f t="shared" si="35"/>
        <v>90</v>
      </c>
      <c r="U54" s="13">
        <f t="shared" si="36"/>
        <v>180</v>
      </c>
      <c r="V54" s="13">
        <f t="shared" si="37"/>
        <v>6</v>
      </c>
      <c r="W54" s="13">
        <f t="shared" si="38"/>
        <v>225</v>
      </c>
    </row>
    <row r="55" spans="2:30" x14ac:dyDescent="0.2">
      <c r="B55" s="7" t="s">
        <v>209</v>
      </c>
      <c r="C55" s="7">
        <v>34</v>
      </c>
      <c r="D55" s="44"/>
      <c r="E55" s="72" t="s">
        <v>395</v>
      </c>
      <c r="F55" s="72" t="s">
        <v>396</v>
      </c>
      <c r="G55" s="1">
        <v>6</v>
      </c>
      <c r="H55" s="1">
        <v>4</v>
      </c>
      <c r="I55" s="1">
        <v>2</v>
      </c>
      <c r="J55" s="84"/>
      <c r="K55" s="13">
        <f t="shared" si="30"/>
        <v>6</v>
      </c>
      <c r="L55" s="90" t="s">
        <v>391</v>
      </c>
      <c r="M55" s="47">
        <f t="shared" si="31"/>
        <v>4.5</v>
      </c>
      <c r="N55" s="13">
        <f t="shared" si="32"/>
        <v>80</v>
      </c>
      <c r="O55" s="13">
        <f t="shared" si="32"/>
        <v>40</v>
      </c>
      <c r="P55" s="13">
        <f t="shared" si="32"/>
        <v>0</v>
      </c>
      <c r="Q55" s="13">
        <f t="shared" si="33"/>
        <v>120</v>
      </c>
      <c r="R55" s="13">
        <f t="shared" si="34"/>
        <v>90</v>
      </c>
      <c r="S55" s="84">
        <v>1</v>
      </c>
      <c r="T55" s="13">
        <f t="shared" si="35"/>
        <v>90</v>
      </c>
      <c r="U55" s="13">
        <f t="shared" si="36"/>
        <v>180</v>
      </c>
      <c r="V55" s="13">
        <f t="shared" si="37"/>
        <v>6</v>
      </c>
      <c r="W55" s="13">
        <f t="shared" si="38"/>
        <v>225</v>
      </c>
    </row>
    <row r="56" spans="2:30" x14ac:dyDescent="0.2">
      <c r="B56" s="7" t="s">
        <v>209</v>
      </c>
      <c r="C56" s="7">
        <v>35</v>
      </c>
      <c r="D56" s="44"/>
      <c r="E56" s="72" t="s">
        <v>397</v>
      </c>
      <c r="F56" s="72" t="s">
        <v>398</v>
      </c>
      <c r="G56" s="1">
        <v>6</v>
      </c>
      <c r="H56" s="1">
        <v>4</v>
      </c>
      <c r="I56" s="1">
        <v>2</v>
      </c>
      <c r="J56" s="84"/>
      <c r="K56" s="13">
        <f t="shared" si="30"/>
        <v>6</v>
      </c>
      <c r="L56" s="90" t="s">
        <v>392</v>
      </c>
      <c r="M56" s="47">
        <f t="shared" si="31"/>
        <v>4.5</v>
      </c>
      <c r="N56" s="13">
        <f t="shared" si="32"/>
        <v>80</v>
      </c>
      <c r="O56" s="13">
        <f t="shared" si="32"/>
        <v>40</v>
      </c>
      <c r="P56" s="13">
        <f t="shared" si="32"/>
        <v>0</v>
      </c>
      <c r="Q56" s="13">
        <f t="shared" si="33"/>
        <v>120</v>
      </c>
      <c r="R56" s="13">
        <f t="shared" si="34"/>
        <v>90</v>
      </c>
      <c r="S56" s="84">
        <v>1</v>
      </c>
      <c r="T56" s="13">
        <f t="shared" si="35"/>
        <v>90</v>
      </c>
      <c r="U56" s="13">
        <f t="shared" si="36"/>
        <v>180</v>
      </c>
      <c r="V56" s="13">
        <f t="shared" si="37"/>
        <v>6</v>
      </c>
      <c r="W56" s="13">
        <f t="shared" si="38"/>
        <v>225</v>
      </c>
    </row>
    <row r="57" spans="2:30" x14ac:dyDescent="0.2">
      <c r="B57" s="7" t="s">
        <v>209</v>
      </c>
      <c r="C57" s="7">
        <v>36</v>
      </c>
      <c r="D57" s="44"/>
      <c r="E57" s="72" t="s">
        <v>399</v>
      </c>
      <c r="F57" s="72" t="s">
        <v>230</v>
      </c>
      <c r="G57" s="1">
        <v>6</v>
      </c>
      <c r="H57" s="1">
        <v>2</v>
      </c>
      <c r="I57" s="1">
        <v>4</v>
      </c>
      <c r="J57" s="84"/>
      <c r="K57" s="13">
        <f t="shared" si="30"/>
        <v>6</v>
      </c>
      <c r="L57" s="90" t="s">
        <v>391</v>
      </c>
      <c r="M57" s="47">
        <f t="shared" si="31"/>
        <v>4.5</v>
      </c>
      <c r="N57" s="13">
        <f t="shared" si="32"/>
        <v>40</v>
      </c>
      <c r="O57" s="13">
        <f t="shared" si="32"/>
        <v>80</v>
      </c>
      <c r="P57" s="13">
        <f t="shared" si="32"/>
        <v>0</v>
      </c>
      <c r="Q57" s="13">
        <f t="shared" si="33"/>
        <v>120</v>
      </c>
      <c r="R57" s="13">
        <f t="shared" si="34"/>
        <v>90</v>
      </c>
      <c r="S57" s="84">
        <v>1</v>
      </c>
      <c r="T57" s="13">
        <f t="shared" si="35"/>
        <v>90</v>
      </c>
      <c r="U57" s="13">
        <f t="shared" si="36"/>
        <v>180</v>
      </c>
      <c r="V57" s="13">
        <f t="shared" si="37"/>
        <v>6</v>
      </c>
      <c r="W57" s="13">
        <f t="shared" si="38"/>
        <v>225</v>
      </c>
    </row>
    <row r="58" spans="2:30" x14ac:dyDescent="0.2">
      <c r="B58" s="7" t="s">
        <v>209</v>
      </c>
      <c r="C58" s="7">
        <v>37</v>
      </c>
      <c r="D58" s="44" t="s">
        <v>400</v>
      </c>
      <c r="E58" s="72" t="s">
        <v>401</v>
      </c>
      <c r="F58" s="72" t="s">
        <v>233</v>
      </c>
      <c r="G58" s="1">
        <v>7</v>
      </c>
      <c r="H58" s="1">
        <v>4</v>
      </c>
      <c r="I58" s="1">
        <v>2</v>
      </c>
      <c r="J58" s="84"/>
      <c r="K58" s="13">
        <f t="shared" si="30"/>
        <v>6</v>
      </c>
      <c r="L58" s="90" t="s">
        <v>397</v>
      </c>
      <c r="M58" s="47">
        <f t="shared" si="31"/>
        <v>4.5</v>
      </c>
      <c r="N58" s="13">
        <f t="shared" si="32"/>
        <v>80</v>
      </c>
      <c r="O58" s="13">
        <f t="shared" si="32"/>
        <v>40</v>
      </c>
      <c r="P58" s="13">
        <f t="shared" si="32"/>
        <v>0</v>
      </c>
      <c r="Q58" s="13">
        <f t="shared" si="33"/>
        <v>120</v>
      </c>
      <c r="R58" s="13">
        <f t="shared" si="34"/>
        <v>90</v>
      </c>
      <c r="S58" s="84">
        <v>1</v>
      </c>
      <c r="T58" s="13">
        <f t="shared" si="35"/>
        <v>90</v>
      </c>
      <c r="U58" s="13">
        <f t="shared" si="36"/>
        <v>180</v>
      </c>
      <c r="V58" s="13">
        <f t="shared" si="37"/>
        <v>6</v>
      </c>
      <c r="W58" s="13">
        <f t="shared" si="38"/>
        <v>225</v>
      </c>
    </row>
    <row r="59" spans="2:30" x14ac:dyDescent="0.2">
      <c r="B59" s="91" t="s">
        <v>209</v>
      </c>
      <c r="C59" s="7">
        <v>38</v>
      </c>
      <c r="D59" s="44"/>
      <c r="E59" s="72" t="s">
        <v>402</v>
      </c>
      <c r="F59" s="72" t="s">
        <v>403</v>
      </c>
      <c r="G59" s="1">
        <v>7</v>
      </c>
      <c r="H59" s="1">
        <v>2</v>
      </c>
      <c r="I59" s="1">
        <v>4</v>
      </c>
      <c r="J59" s="84"/>
      <c r="K59" s="13">
        <f t="shared" si="30"/>
        <v>6</v>
      </c>
      <c r="L59" s="85" t="s">
        <v>369</v>
      </c>
      <c r="M59" s="47">
        <f t="shared" si="31"/>
        <v>4.5</v>
      </c>
      <c r="N59" s="13">
        <f t="shared" si="32"/>
        <v>40</v>
      </c>
      <c r="O59" s="13">
        <f t="shared" si="32"/>
        <v>80</v>
      </c>
      <c r="P59" s="13">
        <f t="shared" si="32"/>
        <v>0</v>
      </c>
      <c r="Q59" s="13">
        <f t="shared" si="33"/>
        <v>120</v>
      </c>
      <c r="R59" s="13">
        <f t="shared" si="34"/>
        <v>90</v>
      </c>
      <c r="S59" s="13">
        <v>1</v>
      </c>
      <c r="T59" s="13">
        <f t="shared" si="35"/>
        <v>90</v>
      </c>
      <c r="U59" s="13">
        <f t="shared" si="36"/>
        <v>180</v>
      </c>
      <c r="V59" s="13">
        <f t="shared" si="37"/>
        <v>6</v>
      </c>
      <c r="W59" s="13">
        <f t="shared" si="38"/>
        <v>225</v>
      </c>
    </row>
    <row r="60" spans="2:30" x14ac:dyDescent="0.2">
      <c r="B60" s="7" t="s">
        <v>209</v>
      </c>
      <c r="C60" s="7">
        <v>39</v>
      </c>
      <c r="D60" s="44"/>
      <c r="E60" s="72" t="s">
        <v>404</v>
      </c>
      <c r="F60" s="72" t="s">
        <v>237</v>
      </c>
      <c r="G60" s="1">
        <v>7</v>
      </c>
      <c r="H60" s="1">
        <v>4</v>
      </c>
      <c r="I60" s="1">
        <v>2</v>
      </c>
      <c r="J60" s="84"/>
      <c r="K60" s="13">
        <f t="shared" si="30"/>
        <v>6</v>
      </c>
      <c r="L60" s="85" t="s">
        <v>369</v>
      </c>
      <c r="M60" s="47">
        <f t="shared" si="31"/>
        <v>4.5</v>
      </c>
      <c r="N60" s="13">
        <f t="shared" si="32"/>
        <v>80</v>
      </c>
      <c r="O60" s="13">
        <f t="shared" si="32"/>
        <v>40</v>
      </c>
      <c r="P60" s="13">
        <f t="shared" si="32"/>
        <v>0</v>
      </c>
      <c r="Q60" s="13">
        <f t="shared" si="33"/>
        <v>120</v>
      </c>
      <c r="R60" s="13">
        <f t="shared" si="34"/>
        <v>90</v>
      </c>
      <c r="S60" s="13">
        <v>1</v>
      </c>
      <c r="T60" s="13">
        <f t="shared" si="35"/>
        <v>90</v>
      </c>
      <c r="U60" s="13">
        <f t="shared" si="36"/>
        <v>180</v>
      </c>
      <c r="V60" s="13">
        <f t="shared" si="37"/>
        <v>6</v>
      </c>
      <c r="W60" s="13">
        <f t="shared" si="38"/>
        <v>225</v>
      </c>
    </row>
    <row r="61" spans="2:30" x14ac:dyDescent="0.2">
      <c r="C61" s="92" t="s">
        <v>405</v>
      </c>
      <c r="D61" s="44"/>
      <c r="E61" s="72"/>
      <c r="F61" s="7"/>
      <c r="G61" s="1"/>
      <c r="H61" s="93">
        <f>SUM(H51:H60)</f>
        <v>34</v>
      </c>
      <c r="I61" s="93">
        <f>SUM(I51:I60)</f>
        <v>24</v>
      </c>
      <c r="J61" s="93">
        <f>SUM(J51:J60)</f>
        <v>2</v>
      </c>
      <c r="K61" s="93">
        <f>SUM(K51:K60)</f>
        <v>60</v>
      </c>
      <c r="L61" s="85"/>
      <c r="M61" s="85"/>
      <c r="N61" s="94">
        <f>SUM(N51:N60)</f>
        <v>680</v>
      </c>
      <c r="O61" s="94">
        <f t="shared" ref="O61:W61" si="39">SUM(O51:O60)</f>
        <v>480</v>
      </c>
      <c r="P61" s="94">
        <f t="shared" si="39"/>
        <v>40</v>
      </c>
      <c r="Q61" s="94">
        <f t="shared" si="39"/>
        <v>1200</v>
      </c>
      <c r="R61" s="94">
        <f t="shared" si="39"/>
        <v>900</v>
      </c>
      <c r="S61" s="94">
        <f t="shared" si="39"/>
        <v>10</v>
      </c>
      <c r="T61" s="94">
        <f t="shared" si="39"/>
        <v>900</v>
      </c>
      <c r="U61" s="94">
        <f t="shared" si="39"/>
        <v>1800</v>
      </c>
      <c r="V61" s="94">
        <f t="shared" si="39"/>
        <v>60</v>
      </c>
      <c r="W61" s="94">
        <f t="shared" si="39"/>
        <v>2250</v>
      </c>
    </row>
    <row r="62" spans="2:30" x14ac:dyDescent="0.2">
      <c r="B62" s="95" t="s">
        <v>406</v>
      </c>
      <c r="D62" s="94"/>
      <c r="E62" s="94"/>
      <c r="F62" s="94"/>
      <c r="G62" s="94"/>
      <c r="H62" s="94">
        <f>H61+H47+H34+H17</f>
        <v>129</v>
      </c>
      <c r="I62" s="94">
        <f t="shared" ref="I62:W62" si="40">I61+I47+I34+I17</f>
        <v>111</v>
      </c>
      <c r="J62" s="94">
        <f t="shared" si="40"/>
        <v>6</v>
      </c>
      <c r="K62" s="94">
        <f t="shared" si="40"/>
        <v>246</v>
      </c>
      <c r="L62" s="96"/>
      <c r="M62" s="96"/>
      <c r="N62" s="94">
        <f t="shared" si="40"/>
        <v>2580</v>
      </c>
      <c r="O62" s="94">
        <f t="shared" si="40"/>
        <v>2220</v>
      </c>
      <c r="P62" s="94">
        <f t="shared" si="40"/>
        <v>120</v>
      </c>
      <c r="Q62" s="94">
        <f t="shared" si="40"/>
        <v>4920</v>
      </c>
      <c r="R62" s="94">
        <f t="shared" si="40"/>
        <v>3690</v>
      </c>
      <c r="S62" s="94">
        <f t="shared" si="40"/>
        <v>37.5</v>
      </c>
      <c r="T62" s="94">
        <f t="shared" si="40"/>
        <v>3300</v>
      </c>
      <c r="U62" s="94">
        <f t="shared" si="40"/>
        <v>6990</v>
      </c>
      <c r="V62" s="94">
        <f t="shared" si="40"/>
        <v>233</v>
      </c>
      <c r="W62" s="94">
        <f t="shared" si="40"/>
        <v>8737.5</v>
      </c>
    </row>
    <row r="64" spans="2:30" x14ac:dyDescent="0.2">
      <c r="B64" s="25" t="s">
        <v>407</v>
      </c>
    </row>
    <row r="65" spans="2:23" ht="40.5" x14ac:dyDescent="0.2">
      <c r="B65" s="39" t="s">
        <v>300</v>
      </c>
      <c r="C65" s="41" t="s">
        <v>299</v>
      </c>
      <c r="D65" s="39" t="s">
        <v>300</v>
      </c>
      <c r="E65" s="39" t="s">
        <v>102</v>
      </c>
      <c r="F65" s="40" t="s">
        <v>1</v>
      </c>
      <c r="G65" s="41" t="s">
        <v>302</v>
      </c>
      <c r="H65" s="42" t="s">
        <v>303</v>
      </c>
      <c r="I65" s="42" t="s">
        <v>304</v>
      </c>
      <c r="J65" s="42" t="s">
        <v>305</v>
      </c>
      <c r="K65" s="42" t="s">
        <v>353</v>
      </c>
      <c r="L65" s="43" t="s">
        <v>307</v>
      </c>
      <c r="M65" s="43"/>
      <c r="N65" s="42" t="s">
        <v>309</v>
      </c>
      <c r="O65" s="42" t="s">
        <v>310</v>
      </c>
      <c r="P65" s="42" t="s">
        <v>311</v>
      </c>
      <c r="Q65" s="42" t="s">
        <v>312</v>
      </c>
      <c r="R65" s="42" t="s">
        <v>313</v>
      </c>
      <c r="S65" s="42" t="s">
        <v>314</v>
      </c>
      <c r="T65" s="42" t="s">
        <v>354</v>
      </c>
      <c r="U65" s="42" t="s">
        <v>316</v>
      </c>
      <c r="V65" s="42" t="s">
        <v>317</v>
      </c>
      <c r="W65" s="42" t="s">
        <v>318</v>
      </c>
    </row>
    <row r="66" spans="2:23" x14ac:dyDescent="0.2">
      <c r="B66" s="97" t="s">
        <v>408</v>
      </c>
      <c r="C66" s="40"/>
      <c r="D66" s="39"/>
      <c r="E66" s="39"/>
      <c r="F66" s="40"/>
      <c r="G66" s="40"/>
      <c r="H66" s="40"/>
      <c r="I66" s="40"/>
      <c r="J66" s="40"/>
      <c r="K66" s="98"/>
      <c r="L66" s="43"/>
      <c r="M66" s="30"/>
      <c r="N66" s="27"/>
      <c r="O66" s="27"/>
      <c r="P66" s="27"/>
      <c r="Q66" s="27"/>
      <c r="R66" s="27"/>
      <c r="S66" s="27"/>
      <c r="T66" s="27"/>
      <c r="U66" s="27"/>
      <c r="V66" s="27"/>
    </row>
    <row r="67" spans="2:23" x14ac:dyDescent="0.2">
      <c r="B67" s="7">
        <v>26</v>
      </c>
      <c r="C67" s="7" t="s">
        <v>0</v>
      </c>
      <c r="D67" s="7">
        <v>43</v>
      </c>
      <c r="E67" s="45" t="s">
        <v>409</v>
      </c>
      <c r="F67" s="7" t="s">
        <v>247</v>
      </c>
      <c r="G67" s="1">
        <v>8</v>
      </c>
      <c r="H67" s="1">
        <v>4</v>
      </c>
      <c r="I67" s="1">
        <v>2</v>
      </c>
      <c r="J67" s="11"/>
      <c r="K67" s="13">
        <f>SUM(H67:J67)</f>
        <v>6</v>
      </c>
      <c r="L67" s="71" t="s">
        <v>388</v>
      </c>
      <c r="M67" s="47">
        <f t="shared" ref="M67:M69" si="41">S67*0.75*K67</f>
        <v>4.5</v>
      </c>
      <c r="N67" s="13">
        <f t="shared" ref="N67:P69" si="42">H67*$N$5</f>
        <v>80</v>
      </c>
      <c r="O67" s="13">
        <f t="shared" si="42"/>
        <v>40</v>
      </c>
      <c r="P67" s="13">
        <f t="shared" si="42"/>
        <v>0</v>
      </c>
      <c r="Q67" s="13">
        <f>SUM(N67:P67)</f>
        <v>120</v>
      </c>
      <c r="R67" s="13">
        <f>Q67*0.75</f>
        <v>90</v>
      </c>
      <c r="S67" s="13">
        <v>1</v>
      </c>
      <c r="T67" s="13">
        <f>S67*R67</f>
        <v>90</v>
      </c>
      <c r="U67" s="13">
        <f>T67+R67</f>
        <v>180</v>
      </c>
      <c r="V67" s="13">
        <f>U67/30</f>
        <v>6</v>
      </c>
      <c r="W67" s="99">
        <f>U67*1.25</f>
        <v>225</v>
      </c>
    </row>
    <row r="68" spans="2:23" x14ac:dyDescent="0.2">
      <c r="B68" s="7">
        <v>27</v>
      </c>
      <c r="C68" s="7" t="s">
        <v>0</v>
      </c>
      <c r="D68" s="7">
        <v>44</v>
      </c>
      <c r="E68" s="45" t="s">
        <v>410</v>
      </c>
      <c r="F68" s="7" t="s">
        <v>411</v>
      </c>
      <c r="G68" s="1">
        <v>8</v>
      </c>
      <c r="H68" s="1">
        <v>2</v>
      </c>
      <c r="I68" s="1">
        <v>2</v>
      </c>
      <c r="J68" s="11"/>
      <c r="K68" s="13">
        <f>SUM(H68:J68)</f>
        <v>4</v>
      </c>
      <c r="L68" s="71" t="s">
        <v>401</v>
      </c>
      <c r="M68" s="47">
        <f t="shared" si="41"/>
        <v>3</v>
      </c>
      <c r="N68" s="13">
        <f t="shared" si="42"/>
        <v>40</v>
      </c>
      <c r="O68" s="13">
        <f t="shared" si="42"/>
        <v>40</v>
      </c>
      <c r="P68" s="13">
        <f t="shared" si="42"/>
        <v>0</v>
      </c>
      <c r="Q68" s="13">
        <f>SUM(N68:P68)</f>
        <v>80</v>
      </c>
      <c r="R68" s="13">
        <f>Q68*0.75</f>
        <v>60</v>
      </c>
      <c r="S68" s="13">
        <v>1</v>
      </c>
      <c r="T68" s="13">
        <f>S68*R68</f>
        <v>60</v>
      </c>
      <c r="U68" s="13">
        <f>T68+R68</f>
        <v>120</v>
      </c>
      <c r="V68" s="13">
        <f>U68/30</f>
        <v>4</v>
      </c>
      <c r="W68" s="99">
        <f>U68*1.25</f>
        <v>150</v>
      </c>
    </row>
    <row r="69" spans="2:23" x14ac:dyDescent="0.2">
      <c r="B69" s="7">
        <v>28</v>
      </c>
      <c r="C69" s="7" t="s">
        <v>0</v>
      </c>
      <c r="D69" s="7">
        <v>45</v>
      </c>
      <c r="E69" s="45" t="s">
        <v>412</v>
      </c>
      <c r="F69" s="7" t="s">
        <v>252</v>
      </c>
      <c r="G69" s="1">
        <v>8</v>
      </c>
      <c r="H69" s="1">
        <v>2</v>
      </c>
      <c r="I69" s="1">
        <v>2</v>
      </c>
      <c r="J69" s="11">
        <v>2</v>
      </c>
      <c r="K69" s="13">
        <f>SUM(H69:J69)</f>
        <v>6</v>
      </c>
      <c r="L69" s="71" t="s">
        <v>369</v>
      </c>
      <c r="M69" s="47">
        <f t="shared" si="41"/>
        <v>4.5</v>
      </c>
      <c r="N69" s="13">
        <f t="shared" si="42"/>
        <v>40</v>
      </c>
      <c r="O69" s="13">
        <f t="shared" si="42"/>
        <v>40</v>
      </c>
      <c r="P69" s="13">
        <f t="shared" si="42"/>
        <v>40</v>
      </c>
      <c r="Q69" s="13">
        <f>SUM(N69:P69)</f>
        <v>120</v>
      </c>
      <c r="R69" s="13">
        <f>Q69*0.75</f>
        <v>90</v>
      </c>
      <c r="S69" s="13">
        <v>1</v>
      </c>
      <c r="T69" s="13">
        <f>S69*R69</f>
        <v>90</v>
      </c>
      <c r="U69" s="13">
        <f>T69+R69</f>
        <v>180</v>
      </c>
      <c r="V69" s="13">
        <f>U69/30</f>
        <v>6</v>
      </c>
      <c r="W69" s="99">
        <f>U69*1.25</f>
        <v>225</v>
      </c>
    </row>
    <row r="70" spans="2:23" x14ac:dyDescent="0.2">
      <c r="B70" s="54" t="s">
        <v>378</v>
      </c>
      <c r="C70" s="7"/>
      <c r="D70" s="7"/>
      <c r="E70" s="45"/>
      <c r="F70" s="7"/>
      <c r="G70" s="1"/>
      <c r="H70" s="1"/>
      <c r="I70" s="1"/>
      <c r="J70" s="11"/>
      <c r="K70" s="13"/>
      <c r="L70" s="71"/>
      <c r="M70" s="100"/>
      <c r="N70" s="101"/>
      <c r="O70" s="101"/>
      <c r="P70" s="101"/>
      <c r="Q70" s="101"/>
      <c r="R70" s="101"/>
      <c r="S70" s="101"/>
      <c r="T70" s="101"/>
      <c r="U70" s="101"/>
      <c r="V70" s="101"/>
    </row>
    <row r="71" spans="2:23" x14ac:dyDescent="0.2">
      <c r="B71" s="7">
        <v>60</v>
      </c>
      <c r="C71" s="7" t="s">
        <v>379</v>
      </c>
      <c r="D71" s="7">
        <v>48</v>
      </c>
      <c r="E71" s="45" t="s">
        <v>413</v>
      </c>
      <c r="F71" s="7" t="s">
        <v>259</v>
      </c>
      <c r="G71" s="1">
        <v>8</v>
      </c>
      <c r="H71" s="1">
        <v>2</v>
      </c>
      <c r="I71" s="1">
        <v>2</v>
      </c>
      <c r="J71" s="7"/>
      <c r="K71" s="13">
        <f>SUM(H71:J71)</f>
        <v>4</v>
      </c>
      <c r="L71" s="71" t="s">
        <v>374</v>
      </c>
      <c r="M71" s="71"/>
      <c r="N71" s="13">
        <f>H71*$N$5</f>
        <v>40</v>
      </c>
      <c r="O71" s="13">
        <f>I71*$N$5</f>
        <v>40</v>
      </c>
      <c r="P71" s="13">
        <f>J71*$N$5</f>
        <v>0</v>
      </c>
      <c r="Q71" s="13">
        <f>SUM(N71:P71)</f>
        <v>80</v>
      </c>
      <c r="R71" s="13">
        <f>Q71*0.75</f>
        <v>60</v>
      </c>
      <c r="S71" s="13">
        <v>1</v>
      </c>
      <c r="T71" s="13">
        <f>S71*R71</f>
        <v>60</v>
      </c>
      <c r="U71" s="13">
        <f>T71+R71</f>
        <v>120</v>
      </c>
      <c r="V71" s="13">
        <f>U71/30</f>
        <v>4</v>
      </c>
      <c r="W71" s="99">
        <f>U71*1.25</f>
        <v>150</v>
      </c>
    </row>
    <row r="72" spans="2:23" x14ac:dyDescent="0.2">
      <c r="B72" s="54" t="s">
        <v>390</v>
      </c>
      <c r="C72" s="7"/>
      <c r="D72" s="7"/>
      <c r="E72" s="45"/>
      <c r="F72" s="7"/>
      <c r="G72" s="1"/>
      <c r="H72" s="1"/>
      <c r="I72" s="1"/>
      <c r="J72" s="7"/>
      <c r="K72" s="13"/>
      <c r="L72" s="71"/>
      <c r="M72" s="100"/>
      <c r="N72" s="101"/>
      <c r="O72" s="101"/>
      <c r="P72" s="101"/>
      <c r="Q72" s="101"/>
      <c r="R72" s="101"/>
      <c r="S72" s="101"/>
      <c r="T72" s="101"/>
      <c r="U72" s="101"/>
      <c r="V72" s="101"/>
    </row>
    <row r="73" spans="2:23" x14ac:dyDescent="0.2">
      <c r="B73" s="7">
        <v>39</v>
      </c>
      <c r="C73" s="7" t="s">
        <v>209</v>
      </c>
      <c r="D73" s="7">
        <v>46</v>
      </c>
      <c r="E73" s="72" t="s">
        <v>414</v>
      </c>
      <c r="F73" s="72" t="s">
        <v>254</v>
      </c>
      <c r="G73" s="1">
        <v>8</v>
      </c>
      <c r="H73" s="1">
        <v>4</v>
      </c>
      <c r="I73" s="1">
        <v>2</v>
      </c>
      <c r="J73" s="84"/>
      <c r="K73" s="13">
        <f t="shared" ref="K73:K81" si="43">SUM(H73:J73)</f>
        <v>6</v>
      </c>
      <c r="L73" s="90" t="s">
        <v>399</v>
      </c>
      <c r="M73" s="47">
        <f t="shared" ref="M73:M81" si="44">S73*0.75*K73</f>
        <v>4.5</v>
      </c>
      <c r="N73" s="13">
        <f t="shared" ref="N73:P80" si="45">H73*$N$5</f>
        <v>80</v>
      </c>
      <c r="O73" s="13">
        <f t="shared" si="45"/>
        <v>40</v>
      </c>
      <c r="P73" s="13">
        <f t="shared" si="45"/>
        <v>0</v>
      </c>
      <c r="Q73" s="13">
        <f>SUM(N73:P73)</f>
        <v>120</v>
      </c>
      <c r="R73" s="13">
        <f t="shared" ref="R73:R81" si="46">Q73*0.75</f>
        <v>90</v>
      </c>
      <c r="S73" s="13">
        <v>1</v>
      </c>
      <c r="T73" s="13">
        <f t="shared" ref="T73:T81" si="47">S73*R73</f>
        <v>90</v>
      </c>
      <c r="U73" s="13">
        <f t="shared" ref="U73:U81" si="48">T73+R73</f>
        <v>180</v>
      </c>
      <c r="V73" s="13">
        <f t="shared" ref="V73:V81" si="49">U73/30</f>
        <v>6</v>
      </c>
      <c r="W73" s="99">
        <f t="shared" ref="W73:W81" si="50">U73*1.25</f>
        <v>225</v>
      </c>
    </row>
    <row r="74" spans="2:23" x14ac:dyDescent="0.2">
      <c r="B74" s="7">
        <v>40</v>
      </c>
      <c r="C74" s="7" t="s">
        <v>209</v>
      </c>
      <c r="D74" s="7">
        <v>47</v>
      </c>
      <c r="E74" s="72" t="s">
        <v>415</v>
      </c>
      <c r="F74" s="72" t="s">
        <v>256</v>
      </c>
      <c r="G74" s="1">
        <v>8</v>
      </c>
      <c r="H74" s="1">
        <v>4</v>
      </c>
      <c r="I74" s="1">
        <v>2</v>
      </c>
      <c r="J74" s="84"/>
      <c r="K74" s="13">
        <f t="shared" si="43"/>
        <v>6</v>
      </c>
      <c r="L74" s="90" t="s">
        <v>401</v>
      </c>
      <c r="M74" s="47">
        <f t="shared" si="44"/>
        <v>4.5</v>
      </c>
      <c r="N74" s="13">
        <f t="shared" si="45"/>
        <v>80</v>
      </c>
      <c r="O74" s="13">
        <f t="shared" si="45"/>
        <v>40</v>
      </c>
      <c r="P74" s="13">
        <f t="shared" si="45"/>
        <v>0</v>
      </c>
      <c r="Q74" s="13">
        <f>SUM(N74:P74)</f>
        <v>120</v>
      </c>
      <c r="R74" s="13">
        <f t="shared" si="46"/>
        <v>90</v>
      </c>
      <c r="S74" s="13">
        <v>1</v>
      </c>
      <c r="T74" s="13">
        <f t="shared" si="47"/>
        <v>90</v>
      </c>
      <c r="U74" s="13">
        <f t="shared" si="48"/>
        <v>180</v>
      </c>
      <c r="V74" s="13">
        <f t="shared" si="49"/>
        <v>6</v>
      </c>
      <c r="W74" s="99">
        <f t="shared" si="50"/>
        <v>225</v>
      </c>
    </row>
    <row r="75" spans="2:23" x14ac:dyDescent="0.2">
      <c r="B75" s="7">
        <v>44</v>
      </c>
      <c r="C75" s="7" t="s">
        <v>209</v>
      </c>
      <c r="D75" s="7">
        <v>49</v>
      </c>
      <c r="E75" s="72" t="s">
        <v>416</v>
      </c>
      <c r="F75" s="72" t="s">
        <v>417</v>
      </c>
      <c r="G75" s="1">
        <v>9</v>
      </c>
      <c r="H75" s="1">
        <v>4</v>
      </c>
      <c r="I75" s="1">
        <v>2</v>
      </c>
      <c r="J75" s="84"/>
      <c r="K75" s="13">
        <f t="shared" si="43"/>
        <v>6</v>
      </c>
      <c r="L75" s="85" t="s">
        <v>388</v>
      </c>
      <c r="M75" s="47">
        <f t="shared" si="44"/>
        <v>4.5</v>
      </c>
      <c r="N75" s="13">
        <f t="shared" si="45"/>
        <v>80</v>
      </c>
      <c r="O75" s="13">
        <f t="shared" si="45"/>
        <v>40</v>
      </c>
      <c r="P75" s="13">
        <f t="shared" si="45"/>
        <v>0</v>
      </c>
      <c r="Q75" s="13">
        <f t="shared" ref="Q75:Q81" si="51">SUM(N75:P75)</f>
        <v>120</v>
      </c>
      <c r="R75" s="13">
        <f t="shared" si="46"/>
        <v>90</v>
      </c>
      <c r="S75" s="13">
        <v>1</v>
      </c>
      <c r="T75" s="13">
        <f t="shared" si="47"/>
        <v>90</v>
      </c>
      <c r="U75" s="13">
        <f t="shared" si="48"/>
        <v>180</v>
      </c>
      <c r="V75" s="13">
        <f t="shared" si="49"/>
        <v>6</v>
      </c>
      <c r="W75" s="99">
        <f t="shared" si="50"/>
        <v>225</v>
      </c>
    </row>
    <row r="76" spans="2:23" x14ac:dyDescent="0.2">
      <c r="B76" s="7">
        <v>42</v>
      </c>
      <c r="C76" s="7" t="s">
        <v>209</v>
      </c>
      <c r="D76" s="7">
        <v>50</v>
      </c>
      <c r="E76" s="72" t="s">
        <v>418</v>
      </c>
      <c r="F76" s="72" t="s">
        <v>270</v>
      </c>
      <c r="G76" s="1">
        <v>9</v>
      </c>
      <c r="H76" s="1">
        <v>4</v>
      </c>
      <c r="I76" s="1">
        <v>2</v>
      </c>
      <c r="J76" s="84"/>
      <c r="K76" s="13">
        <f t="shared" si="43"/>
        <v>6</v>
      </c>
      <c r="L76" s="90" t="s">
        <v>414</v>
      </c>
      <c r="M76" s="47">
        <f t="shared" si="44"/>
        <v>4.5</v>
      </c>
      <c r="N76" s="13">
        <f t="shared" si="45"/>
        <v>80</v>
      </c>
      <c r="O76" s="13">
        <f t="shared" si="45"/>
        <v>40</v>
      </c>
      <c r="P76" s="13">
        <f t="shared" si="45"/>
        <v>0</v>
      </c>
      <c r="Q76" s="13">
        <f t="shared" si="51"/>
        <v>120</v>
      </c>
      <c r="R76" s="13">
        <f t="shared" si="46"/>
        <v>90</v>
      </c>
      <c r="S76" s="13">
        <v>1</v>
      </c>
      <c r="T76" s="13">
        <f t="shared" si="47"/>
        <v>90</v>
      </c>
      <c r="U76" s="13">
        <f t="shared" si="48"/>
        <v>180</v>
      </c>
      <c r="V76" s="13">
        <f t="shared" si="49"/>
        <v>6</v>
      </c>
      <c r="W76" s="99">
        <f t="shared" si="50"/>
        <v>225</v>
      </c>
    </row>
    <row r="77" spans="2:23" x14ac:dyDescent="0.2">
      <c r="B77" s="7">
        <v>43</v>
      </c>
      <c r="C77" s="7" t="s">
        <v>209</v>
      </c>
      <c r="D77" s="7">
        <v>51</v>
      </c>
      <c r="E77" s="72" t="s">
        <v>419</v>
      </c>
      <c r="F77" s="72" t="s">
        <v>273</v>
      </c>
      <c r="G77" s="1">
        <v>9</v>
      </c>
      <c r="H77" s="1">
        <v>4</v>
      </c>
      <c r="I77" s="1">
        <v>2</v>
      </c>
      <c r="J77" s="84"/>
      <c r="K77" s="13">
        <f t="shared" si="43"/>
        <v>6</v>
      </c>
      <c r="L77" s="85" t="s">
        <v>394</v>
      </c>
      <c r="M77" s="47">
        <f t="shared" si="44"/>
        <v>6.75</v>
      </c>
      <c r="N77" s="13">
        <f t="shared" si="45"/>
        <v>80</v>
      </c>
      <c r="O77" s="13">
        <f t="shared" si="45"/>
        <v>40</v>
      </c>
      <c r="P77" s="13">
        <f t="shared" si="45"/>
        <v>0</v>
      </c>
      <c r="Q77" s="13">
        <f t="shared" si="51"/>
        <v>120</v>
      </c>
      <c r="R77" s="13">
        <f t="shared" si="46"/>
        <v>90</v>
      </c>
      <c r="S77" s="13">
        <v>1.5</v>
      </c>
      <c r="T77" s="13">
        <f t="shared" si="47"/>
        <v>135</v>
      </c>
      <c r="U77" s="13">
        <f t="shared" si="48"/>
        <v>225</v>
      </c>
      <c r="V77" s="13">
        <f t="shared" si="49"/>
        <v>7.5</v>
      </c>
      <c r="W77" s="99">
        <f t="shared" si="50"/>
        <v>281.25</v>
      </c>
    </row>
    <row r="78" spans="2:23" x14ac:dyDescent="0.2">
      <c r="B78" s="7">
        <v>45</v>
      </c>
      <c r="C78" s="91" t="s">
        <v>209</v>
      </c>
      <c r="D78" s="7">
        <v>52</v>
      </c>
      <c r="E78" s="72" t="s">
        <v>420</v>
      </c>
      <c r="F78" s="72" t="s">
        <v>421</v>
      </c>
      <c r="G78" s="1">
        <v>9</v>
      </c>
      <c r="H78" s="1">
        <v>4</v>
      </c>
      <c r="I78" s="1">
        <v>2</v>
      </c>
      <c r="J78" s="84"/>
      <c r="K78" s="13">
        <f t="shared" si="43"/>
        <v>6</v>
      </c>
      <c r="L78" s="90" t="s">
        <v>415</v>
      </c>
      <c r="M78" s="47">
        <f t="shared" si="44"/>
        <v>4.5</v>
      </c>
      <c r="N78" s="13">
        <f t="shared" si="45"/>
        <v>80</v>
      </c>
      <c r="O78" s="13">
        <f t="shared" si="45"/>
        <v>40</v>
      </c>
      <c r="P78" s="13">
        <f t="shared" si="45"/>
        <v>0</v>
      </c>
      <c r="Q78" s="13">
        <f t="shared" si="51"/>
        <v>120</v>
      </c>
      <c r="R78" s="13">
        <f t="shared" si="46"/>
        <v>90</v>
      </c>
      <c r="S78" s="13">
        <v>1</v>
      </c>
      <c r="T78" s="13">
        <f t="shared" si="47"/>
        <v>90</v>
      </c>
      <c r="U78" s="13">
        <f t="shared" si="48"/>
        <v>180</v>
      </c>
      <c r="V78" s="13">
        <f t="shared" si="49"/>
        <v>6</v>
      </c>
      <c r="W78" s="99">
        <f t="shared" si="50"/>
        <v>225</v>
      </c>
    </row>
    <row r="79" spans="2:23" x14ac:dyDescent="0.2">
      <c r="B79" s="7">
        <v>46</v>
      </c>
      <c r="C79" s="7" t="s">
        <v>209</v>
      </c>
      <c r="D79" s="7">
        <v>53</v>
      </c>
      <c r="E79" s="72" t="s">
        <v>422</v>
      </c>
      <c r="F79" s="72" t="s">
        <v>278</v>
      </c>
      <c r="G79" s="1">
        <v>9</v>
      </c>
      <c r="H79" s="1">
        <v>4</v>
      </c>
      <c r="I79" s="1">
        <v>2</v>
      </c>
      <c r="J79" s="84"/>
      <c r="K79" s="13">
        <f t="shared" si="43"/>
        <v>6</v>
      </c>
      <c r="L79" s="90" t="s">
        <v>415</v>
      </c>
      <c r="M79" s="47">
        <f t="shared" si="44"/>
        <v>4.5</v>
      </c>
      <c r="N79" s="13">
        <f t="shared" si="45"/>
        <v>80</v>
      </c>
      <c r="O79" s="13">
        <f t="shared" si="45"/>
        <v>40</v>
      </c>
      <c r="P79" s="13">
        <f t="shared" si="45"/>
        <v>0</v>
      </c>
      <c r="Q79" s="13">
        <f t="shared" si="51"/>
        <v>120</v>
      </c>
      <c r="R79" s="13">
        <f t="shared" si="46"/>
        <v>90</v>
      </c>
      <c r="S79" s="13">
        <v>1</v>
      </c>
      <c r="T79" s="13">
        <f t="shared" si="47"/>
        <v>90</v>
      </c>
      <c r="U79" s="13">
        <f t="shared" si="48"/>
        <v>180</v>
      </c>
      <c r="V79" s="13">
        <f t="shared" si="49"/>
        <v>6</v>
      </c>
      <c r="W79" s="99">
        <f t="shared" si="50"/>
        <v>225</v>
      </c>
    </row>
    <row r="80" spans="2:23" x14ac:dyDescent="0.2">
      <c r="B80" s="7">
        <v>47</v>
      </c>
      <c r="C80" s="7" t="s">
        <v>209</v>
      </c>
      <c r="D80" s="7">
        <v>54</v>
      </c>
      <c r="E80" s="72" t="s">
        <v>423</v>
      </c>
      <c r="F80" s="72" t="s">
        <v>424</v>
      </c>
      <c r="G80" s="1">
        <v>9</v>
      </c>
      <c r="H80" s="1">
        <v>4</v>
      </c>
      <c r="I80" s="1">
        <v>2</v>
      </c>
      <c r="J80" s="84"/>
      <c r="K80" s="13">
        <f t="shared" si="43"/>
        <v>6</v>
      </c>
      <c r="L80" s="90" t="s">
        <v>425</v>
      </c>
      <c r="M80" s="47">
        <f t="shared" si="44"/>
        <v>4.5</v>
      </c>
      <c r="N80" s="13">
        <f t="shared" si="45"/>
        <v>80</v>
      </c>
      <c r="O80" s="13">
        <f t="shared" si="45"/>
        <v>40</v>
      </c>
      <c r="P80" s="13">
        <f t="shared" si="45"/>
        <v>0</v>
      </c>
      <c r="Q80" s="13">
        <f t="shared" si="51"/>
        <v>120</v>
      </c>
      <c r="R80" s="13">
        <f t="shared" si="46"/>
        <v>90</v>
      </c>
      <c r="S80" s="13">
        <v>1</v>
      </c>
      <c r="T80" s="13">
        <f t="shared" si="47"/>
        <v>90</v>
      </c>
      <c r="U80" s="13">
        <f t="shared" si="48"/>
        <v>180</v>
      </c>
      <c r="V80" s="13">
        <f t="shared" si="49"/>
        <v>6</v>
      </c>
      <c r="W80" s="99">
        <f t="shared" si="50"/>
        <v>225</v>
      </c>
    </row>
    <row r="81" spans="2:23" x14ac:dyDescent="0.2">
      <c r="B81" s="7">
        <v>50</v>
      </c>
      <c r="C81" s="7" t="s">
        <v>209</v>
      </c>
      <c r="D81" s="7">
        <v>55</v>
      </c>
      <c r="E81" s="45" t="s">
        <v>426</v>
      </c>
      <c r="F81" s="7" t="s">
        <v>293</v>
      </c>
      <c r="G81" s="1">
        <v>10</v>
      </c>
      <c r="H81" s="1">
        <v>4</v>
      </c>
      <c r="I81" s="1">
        <v>6</v>
      </c>
      <c r="J81" s="7"/>
      <c r="K81" s="13">
        <f t="shared" si="43"/>
        <v>10</v>
      </c>
      <c r="L81" s="46" t="s">
        <v>427</v>
      </c>
      <c r="M81" s="47">
        <f t="shared" si="44"/>
        <v>37.5</v>
      </c>
      <c r="N81" s="13">
        <f>H81*20</f>
        <v>80</v>
      </c>
      <c r="O81" s="13">
        <f>(I81+J81)*20</f>
        <v>120</v>
      </c>
      <c r="P81" s="13">
        <v>0</v>
      </c>
      <c r="Q81" s="13">
        <f t="shared" si="51"/>
        <v>200</v>
      </c>
      <c r="R81" s="13">
        <f t="shared" si="46"/>
        <v>150</v>
      </c>
      <c r="S81" s="13">
        <v>5</v>
      </c>
      <c r="T81" s="13">
        <f t="shared" si="47"/>
        <v>750</v>
      </c>
      <c r="U81" s="13">
        <f t="shared" si="48"/>
        <v>900</v>
      </c>
      <c r="V81" s="13">
        <f t="shared" si="49"/>
        <v>30</v>
      </c>
      <c r="W81" s="99">
        <f t="shared" si="50"/>
        <v>1125</v>
      </c>
    </row>
    <row r="82" spans="2:23" x14ac:dyDescent="0.2">
      <c r="B82" s="95" t="s">
        <v>428</v>
      </c>
      <c r="C82" s="94"/>
      <c r="D82" s="94" t="s">
        <v>429</v>
      </c>
      <c r="E82" s="94"/>
      <c r="F82" s="94"/>
      <c r="G82" s="94"/>
      <c r="H82" s="94">
        <f>SUM(H67:H81)</f>
        <v>46</v>
      </c>
      <c r="I82" s="94">
        <f>SUM(I67:I81)</f>
        <v>30</v>
      </c>
      <c r="J82" s="94">
        <f>SUM(J67:J81)</f>
        <v>2</v>
      </c>
      <c r="K82" s="94">
        <f>SUM(K67:K81)</f>
        <v>78</v>
      </c>
      <c r="L82" s="96"/>
      <c r="M82" s="96"/>
      <c r="N82" s="94">
        <f t="shared" ref="N82:W82" si="52">SUM(N67:N81)</f>
        <v>920</v>
      </c>
      <c r="O82" s="94">
        <f t="shared" si="52"/>
        <v>600</v>
      </c>
      <c r="P82" s="94">
        <f t="shared" si="52"/>
        <v>40</v>
      </c>
      <c r="Q82" s="94">
        <f t="shared" si="52"/>
        <v>1560</v>
      </c>
      <c r="R82" s="94">
        <f t="shared" si="52"/>
        <v>1170</v>
      </c>
      <c r="S82" s="94">
        <f t="shared" si="52"/>
        <v>17.5</v>
      </c>
      <c r="T82" s="94">
        <f t="shared" si="52"/>
        <v>1815</v>
      </c>
      <c r="U82" s="94">
        <f t="shared" si="52"/>
        <v>2985</v>
      </c>
      <c r="V82" s="94">
        <f t="shared" si="52"/>
        <v>99.5</v>
      </c>
      <c r="W82" s="94">
        <f t="shared" si="52"/>
        <v>3731.25</v>
      </c>
    </row>
    <row r="83" spans="2:23" x14ac:dyDescent="0.2">
      <c r="B83" s="95" t="s">
        <v>406</v>
      </c>
      <c r="C83" s="94"/>
      <c r="D83" s="94"/>
      <c r="E83" s="94"/>
      <c r="F83" s="94"/>
      <c r="G83" s="94"/>
      <c r="H83" s="94">
        <f>H62</f>
        <v>129</v>
      </c>
      <c r="I83" s="94">
        <f t="shared" ref="I83:W83" si="53">I62</f>
        <v>111</v>
      </c>
      <c r="J83" s="94">
        <f t="shared" si="53"/>
        <v>6</v>
      </c>
      <c r="K83" s="94">
        <f t="shared" si="53"/>
        <v>246</v>
      </c>
      <c r="L83" s="94"/>
      <c r="M83" s="94"/>
      <c r="N83" s="94">
        <f t="shared" si="53"/>
        <v>2580</v>
      </c>
      <c r="O83" s="94">
        <f t="shared" si="53"/>
        <v>2220</v>
      </c>
      <c r="P83" s="94">
        <f t="shared" si="53"/>
        <v>120</v>
      </c>
      <c r="Q83" s="94">
        <f t="shared" si="53"/>
        <v>4920</v>
      </c>
      <c r="R83" s="94">
        <f t="shared" si="53"/>
        <v>3690</v>
      </c>
      <c r="S83" s="94">
        <f t="shared" si="53"/>
        <v>37.5</v>
      </c>
      <c r="T83" s="94">
        <f t="shared" si="53"/>
        <v>3300</v>
      </c>
      <c r="U83" s="94">
        <f t="shared" si="53"/>
        <v>6990</v>
      </c>
      <c r="V83" s="94">
        <f t="shared" si="53"/>
        <v>233</v>
      </c>
      <c r="W83" s="94">
        <f t="shared" si="53"/>
        <v>8737.5</v>
      </c>
    </row>
    <row r="84" spans="2:23" x14ac:dyDescent="0.2">
      <c r="B84" s="95" t="s">
        <v>430</v>
      </c>
      <c r="C84" s="94"/>
      <c r="D84" s="94"/>
      <c r="E84" s="94"/>
      <c r="F84" s="94"/>
      <c r="G84" s="94"/>
      <c r="H84" s="94">
        <f>H62+H82</f>
        <v>175</v>
      </c>
      <c r="I84" s="94">
        <f t="shared" ref="I84:W84" si="54">I62+I82</f>
        <v>141</v>
      </c>
      <c r="J84" s="94">
        <f t="shared" si="54"/>
        <v>8</v>
      </c>
      <c r="K84" s="94">
        <f t="shared" si="54"/>
        <v>324</v>
      </c>
      <c r="L84" s="94"/>
      <c r="M84" s="94"/>
      <c r="N84" s="94">
        <f t="shared" si="54"/>
        <v>3500</v>
      </c>
      <c r="O84" s="94">
        <f t="shared" si="54"/>
        <v>2820</v>
      </c>
      <c r="P84" s="94">
        <f t="shared" si="54"/>
        <v>160</v>
      </c>
      <c r="Q84" s="94">
        <f t="shared" si="54"/>
        <v>6480</v>
      </c>
      <c r="R84" s="94">
        <f t="shared" si="54"/>
        <v>4860</v>
      </c>
      <c r="S84" s="94">
        <f t="shared" si="54"/>
        <v>55</v>
      </c>
      <c r="T84" s="94">
        <f t="shared" si="54"/>
        <v>5115</v>
      </c>
      <c r="U84" s="94">
        <f t="shared" si="54"/>
        <v>9975</v>
      </c>
      <c r="V84" s="94">
        <f t="shared" si="54"/>
        <v>332.5</v>
      </c>
      <c r="W84" s="94">
        <f t="shared" si="54"/>
        <v>12468.75</v>
      </c>
    </row>
    <row r="85" spans="2:23" x14ac:dyDescent="0.2">
      <c r="L85"/>
      <c r="M85"/>
    </row>
    <row r="86" spans="2:23" x14ac:dyDescent="0.2">
      <c r="B86" s="25" t="s">
        <v>431</v>
      </c>
    </row>
    <row r="87" spans="2:23" ht="40.5" x14ac:dyDescent="0.2">
      <c r="B87" s="39" t="s">
        <v>300</v>
      </c>
      <c r="C87" s="41" t="s">
        <v>299</v>
      </c>
      <c r="D87" s="39" t="s">
        <v>300</v>
      </c>
      <c r="E87" s="39" t="s">
        <v>102</v>
      </c>
      <c r="F87" s="40" t="s">
        <v>1</v>
      </c>
      <c r="G87" s="41" t="s">
        <v>302</v>
      </c>
      <c r="H87" s="42" t="s">
        <v>303</v>
      </c>
      <c r="I87" s="42" t="s">
        <v>304</v>
      </c>
      <c r="J87" s="42" t="s">
        <v>305</v>
      </c>
      <c r="K87" s="42" t="s">
        <v>353</v>
      </c>
      <c r="L87" s="43" t="s">
        <v>307</v>
      </c>
      <c r="M87" s="43"/>
      <c r="N87" s="42" t="s">
        <v>309</v>
      </c>
      <c r="O87" s="42" t="s">
        <v>310</v>
      </c>
      <c r="P87" s="42" t="s">
        <v>311</v>
      </c>
      <c r="Q87" s="42" t="s">
        <v>312</v>
      </c>
      <c r="R87" s="42" t="s">
        <v>313</v>
      </c>
      <c r="S87" s="42" t="s">
        <v>314</v>
      </c>
      <c r="T87" s="42" t="s">
        <v>354</v>
      </c>
      <c r="U87" s="42" t="s">
        <v>316</v>
      </c>
      <c r="V87" s="42" t="s">
        <v>317</v>
      </c>
      <c r="W87" s="42" t="s">
        <v>318</v>
      </c>
    </row>
    <row r="88" spans="2:23" x14ac:dyDescent="0.2">
      <c r="B88" s="97" t="s">
        <v>432</v>
      </c>
      <c r="C88" s="40"/>
      <c r="D88" s="39"/>
      <c r="E88" s="39"/>
      <c r="F88" s="40"/>
      <c r="G88" s="40"/>
      <c r="H88" s="40"/>
      <c r="I88" s="40"/>
      <c r="J88" s="40"/>
      <c r="K88" s="98"/>
      <c r="L88" s="43"/>
      <c r="M88" s="30"/>
      <c r="N88" s="27"/>
      <c r="O88" s="27"/>
      <c r="P88" s="27"/>
      <c r="Q88" s="27"/>
      <c r="R88" s="27"/>
      <c r="S88" s="27"/>
      <c r="T88" s="27"/>
      <c r="U88" s="27"/>
      <c r="V88" s="27"/>
    </row>
    <row r="89" spans="2:23" x14ac:dyDescent="0.2">
      <c r="B89" s="7">
        <v>11</v>
      </c>
      <c r="C89" s="7" t="s">
        <v>109</v>
      </c>
      <c r="D89" s="7">
        <v>46</v>
      </c>
      <c r="E89" s="45" t="s">
        <v>433</v>
      </c>
      <c r="F89" s="7" t="s">
        <v>261</v>
      </c>
      <c r="G89" s="1">
        <v>8</v>
      </c>
      <c r="H89" s="1">
        <v>2</v>
      </c>
      <c r="I89" s="1">
        <v>2</v>
      </c>
      <c r="J89" s="13">
        <v>2</v>
      </c>
      <c r="K89" s="13">
        <f>SUM(H89:J89)</f>
        <v>6</v>
      </c>
      <c r="L89" s="46" t="s">
        <v>376</v>
      </c>
      <c r="M89" s="47">
        <f t="shared" ref="M89:M90" si="55">S89*0.75*K89</f>
        <v>4.5</v>
      </c>
      <c r="N89" s="13">
        <f t="shared" ref="N89:P90" si="56">H89*$N$5</f>
        <v>40</v>
      </c>
      <c r="O89" s="13">
        <f t="shared" si="56"/>
        <v>40</v>
      </c>
      <c r="P89" s="13">
        <f t="shared" si="56"/>
        <v>40</v>
      </c>
      <c r="Q89" s="13">
        <f>SUM(N89:P89)</f>
        <v>120</v>
      </c>
      <c r="R89" s="13">
        <f>Q89*0.75</f>
        <v>90</v>
      </c>
      <c r="S89" s="13">
        <v>1</v>
      </c>
      <c r="T89" s="13">
        <f>S89*R89</f>
        <v>90</v>
      </c>
      <c r="U89" s="13">
        <f>T89+R89</f>
        <v>180</v>
      </c>
      <c r="V89" s="53">
        <f>U89/30</f>
        <v>6</v>
      </c>
      <c r="W89" s="13">
        <f>U89*1.25</f>
        <v>225</v>
      </c>
    </row>
    <row r="90" spans="2:23" x14ac:dyDescent="0.2">
      <c r="B90" s="7">
        <v>12</v>
      </c>
      <c r="C90" s="7" t="s">
        <v>109</v>
      </c>
      <c r="D90" s="7">
        <v>49</v>
      </c>
      <c r="E90" s="45" t="s">
        <v>434</v>
      </c>
      <c r="F90" s="7" t="s">
        <v>284</v>
      </c>
      <c r="G90" s="1">
        <v>9</v>
      </c>
      <c r="H90" s="1">
        <v>2</v>
      </c>
      <c r="I90" s="1">
        <v>2</v>
      </c>
      <c r="J90" s="13">
        <v>2</v>
      </c>
      <c r="K90" s="13">
        <f>SUM(H90:J90)</f>
        <v>6</v>
      </c>
      <c r="L90" s="46" t="s">
        <v>433</v>
      </c>
      <c r="M90" s="47">
        <f t="shared" si="55"/>
        <v>4.5</v>
      </c>
      <c r="N90" s="13">
        <f t="shared" si="56"/>
        <v>40</v>
      </c>
      <c r="O90" s="13">
        <f t="shared" si="56"/>
        <v>40</v>
      </c>
      <c r="P90" s="13">
        <f t="shared" si="56"/>
        <v>40</v>
      </c>
      <c r="Q90" s="13">
        <f>SUM(N90:P90)</f>
        <v>120</v>
      </c>
      <c r="R90" s="13">
        <f>Q90*0.75</f>
        <v>90</v>
      </c>
      <c r="S90" s="13">
        <v>1</v>
      </c>
      <c r="T90" s="13">
        <f>S90*R90</f>
        <v>90</v>
      </c>
      <c r="U90" s="13">
        <f>T90+R90</f>
        <v>180</v>
      </c>
      <c r="V90" s="53">
        <f>U90/30</f>
        <v>6</v>
      </c>
      <c r="W90" s="13">
        <f>U90*1.25</f>
        <v>225</v>
      </c>
    </row>
    <row r="91" spans="2:23" x14ac:dyDescent="0.2">
      <c r="B91" s="54" t="s">
        <v>408</v>
      </c>
      <c r="C91" s="7"/>
      <c r="D91" s="7"/>
      <c r="E91" s="45"/>
      <c r="F91" s="7"/>
      <c r="G91" s="1"/>
      <c r="H91" s="1"/>
      <c r="I91" s="1"/>
      <c r="J91" s="13"/>
      <c r="K91" s="13"/>
      <c r="L91" s="46"/>
    </row>
    <row r="92" spans="2:23" x14ac:dyDescent="0.2">
      <c r="B92" s="7">
        <v>26</v>
      </c>
      <c r="C92" s="7" t="s">
        <v>0</v>
      </c>
      <c r="D92" s="7">
        <v>43</v>
      </c>
      <c r="E92" s="45" t="s">
        <v>409</v>
      </c>
      <c r="F92" s="7" t="s">
        <v>247</v>
      </c>
      <c r="G92" s="1">
        <v>8</v>
      </c>
      <c r="H92" s="1">
        <v>4</v>
      </c>
      <c r="I92" s="1">
        <v>2</v>
      </c>
      <c r="J92" s="11"/>
      <c r="K92" s="13">
        <f>SUM(H92:J92)</f>
        <v>6</v>
      </c>
      <c r="L92" s="71" t="s">
        <v>388</v>
      </c>
      <c r="M92" s="47">
        <f t="shared" ref="M92:M93" si="57">S92*0.75*K92</f>
        <v>4.5</v>
      </c>
      <c r="N92" s="13">
        <f t="shared" ref="N92:P93" si="58">H92*$N$5</f>
        <v>80</v>
      </c>
      <c r="O92" s="13">
        <f t="shared" si="58"/>
        <v>40</v>
      </c>
      <c r="P92" s="13">
        <f t="shared" si="58"/>
        <v>0</v>
      </c>
      <c r="Q92" s="13">
        <f>SUM(N92:P92)</f>
        <v>120</v>
      </c>
      <c r="R92" s="13">
        <f>Q92*0.75</f>
        <v>90</v>
      </c>
      <c r="S92" s="13">
        <v>1</v>
      </c>
      <c r="T92" s="13">
        <f>S92*R92</f>
        <v>90</v>
      </c>
      <c r="U92" s="13">
        <f>T92+R92</f>
        <v>180</v>
      </c>
      <c r="V92" s="53">
        <f>U92/30</f>
        <v>6</v>
      </c>
      <c r="W92" s="53">
        <f>U92*1.25</f>
        <v>225</v>
      </c>
    </row>
    <row r="93" spans="2:23" x14ac:dyDescent="0.2">
      <c r="B93" s="7">
        <v>27</v>
      </c>
      <c r="C93" s="7" t="s">
        <v>0</v>
      </c>
      <c r="D93" s="7">
        <v>44</v>
      </c>
      <c r="E93" s="45" t="s">
        <v>410</v>
      </c>
      <c r="F93" s="7" t="s">
        <v>411</v>
      </c>
      <c r="G93" s="1">
        <v>8</v>
      </c>
      <c r="H93" s="1">
        <v>2</v>
      </c>
      <c r="I93" s="1">
        <v>2</v>
      </c>
      <c r="J93" s="11"/>
      <c r="K93" s="13">
        <f>SUM(H93:J93)</f>
        <v>4</v>
      </c>
      <c r="L93" s="71" t="s">
        <v>401</v>
      </c>
      <c r="M93" s="47">
        <f t="shared" si="57"/>
        <v>3</v>
      </c>
      <c r="N93" s="13">
        <f t="shared" si="58"/>
        <v>40</v>
      </c>
      <c r="O93" s="13">
        <f t="shared" si="58"/>
        <v>40</v>
      </c>
      <c r="P93" s="13">
        <f t="shared" si="58"/>
        <v>0</v>
      </c>
      <c r="Q93" s="13">
        <f>SUM(N93:P93)</f>
        <v>80</v>
      </c>
      <c r="R93" s="13">
        <f>Q93*0.75</f>
        <v>60</v>
      </c>
      <c r="S93" s="13">
        <v>1</v>
      </c>
      <c r="T93" s="13">
        <f>S93*R93</f>
        <v>60</v>
      </c>
      <c r="U93" s="13">
        <f>T93+R93</f>
        <v>120</v>
      </c>
      <c r="V93" s="53">
        <f>U93/30</f>
        <v>4</v>
      </c>
      <c r="W93" s="53">
        <f>U93*1.25</f>
        <v>150</v>
      </c>
    </row>
    <row r="94" spans="2:23" x14ac:dyDescent="0.2">
      <c r="B94" s="54" t="s">
        <v>435</v>
      </c>
      <c r="C94" s="7"/>
      <c r="D94" s="7"/>
      <c r="E94" s="45"/>
      <c r="F94" s="7"/>
      <c r="G94" s="1"/>
      <c r="H94" s="1"/>
      <c r="I94" s="1"/>
      <c r="J94" s="11"/>
      <c r="K94" s="13"/>
      <c r="L94" s="71"/>
      <c r="M94" s="100"/>
      <c r="N94" s="101"/>
      <c r="O94" s="101"/>
      <c r="P94" s="101"/>
      <c r="Q94" s="101"/>
      <c r="R94" s="101"/>
      <c r="S94" s="101"/>
      <c r="T94" s="101"/>
      <c r="U94" s="101"/>
      <c r="V94" s="101"/>
    </row>
    <row r="95" spans="2:23" x14ac:dyDescent="0.2">
      <c r="B95" s="7">
        <v>60</v>
      </c>
      <c r="C95" s="7" t="s">
        <v>379</v>
      </c>
      <c r="D95" s="7">
        <v>48</v>
      </c>
      <c r="E95" s="45" t="s">
        <v>413</v>
      </c>
      <c r="F95" s="7" t="s">
        <v>259</v>
      </c>
      <c r="G95" s="1">
        <v>8</v>
      </c>
      <c r="H95" s="1">
        <v>2</v>
      </c>
      <c r="I95" s="1">
        <v>2</v>
      </c>
      <c r="J95" s="7"/>
      <c r="K95" s="13">
        <f>SUM(H95:J95)</f>
        <v>4</v>
      </c>
      <c r="L95" s="71" t="s">
        <v>374</v>
      </c>
      <c r="M95" s="47">
        <f t="shared" ref="M95" si="59">S95*0.75*K95</f>
        <v>3</v>
      </c>
      <c r="N95" s="13">
        <f>H95*$N$5</f>
        <v>40</v>
      </c>
      <c r="O95" s="13">
        <f>I95*$N$5</f>
        <v>40</v>
      </c>
      <c r="P95" s="13">
        <f>J95*$N$5</f>
        <v>0</v>
      </c>
      <c r="Q95" s="13">
        <f>SUM(N95:P95)</f>
        <v>80</v>
      </c>
      <c r="R95" s="13">
        <f>Q95*0.75</f>
        <v>60</v>
      </c>
      <c r="S95" s="13">
        <v>1</v>
      </c>
      <c r="T95" s="13">
        <f>S95*R95</f>
        <v>60</v>
      </c>
      <c r="U95" s="13">
        <f>T95+R95</f>
        <v>120</v>
      </c>
      <c r="V95" s="53">
        <f>U95/30</f>
        <v>4</v>
      </c>
      <c r="W95" s="53">
        <f>U95*1.25</f>
        <v>150</v>
      </c>
    </row>
    <row r="96" spans="2:23" x14ac:dyDescent="0.2">
      <c r="B96" s="54" t="s">
        <v>390</v>
      </c>
      <c r="C96" s="7"/>
      <c r="D96" s="7"/>
      <c r="E96" s="45"/>
      <c r="F96" s="7"/>
      <c r="G96" s="1"/>
      <c r="H96" s="1"/>
      <c r="I96" s="1"/>
      <c r="J96" s="7"/>
      <c r="K96" s="13"/>
      <c r="L96" s="71"/>
      <c r="M96" s="100"/>
      <c r="N96" s="101"/>
      <c r="O96" s="101"/>
      <c r="P96" s="101"/>
      <c r="Q96" s="101"/>
      <c r="R96" s="101"/>
      <c r="S96" s="101"/>
      <c r="T96" s="101"/>
      <c r="U96" s="101"/>
      <c r="V96" s="101"/>
    </row>
    <row r="97" spans="2:23" x14ac:dyDescent="0.2">
      <c r="B97" s="7">
        <v>40</v>
      </c>
      <c r="C97" s="7" t="s">
        <v>209</v>
      </c>
      <c r="D97" s="7">
        <v>45</v>
      </c>
      <c r="E97" s="72" t="s">
        <v>415</v>
      </c>
      <c r="F97" s="72" t="s">
        <v>256</v>
      </c>
      <c r="G97" s="1">
        <v>8</v>
      </c>
      <c r="H97" s="1">
        <v>4</v>
      </c>
      <c r="I97" s="1">
        <v>2</v>
      </c>
      <c r="J97" s="84"/>
      <c r="K97" s="13">
        <f t="shared" ref="K97:K104" si="60">SUM(H97:J97)</f>
        <v>6</v>
      </c>
      <c r="L97" s="90" t="s">
        <v>436</v>
      </c>
      <c r="M97" s="47">
        <f t="shared" ref="M97:M104" si="61">S97*0.75*K97</f>
        <v>4.5</v>
      </c>
      <c r="N97" s="13">
        <f t="shared" ref="N97:P103" si="62">H97*$N$5</f>
        <v>80</v>
      </c>
      <c r="O97" s="13">
        <f t="shared" si="62"/>
        <v>40</v>
      </c>
      <c r="P97" s="13">
        <f t="shared" si="62"/>
        <v>0</v>
      </c>
      <c r="Q97" s="13">
        <f t="shared" ref="Q97:Q104" si="63">SUM(N97:P97)</f>
        <v>120</v>
      </c>
      <c r="R97" s="13">
        <f t="shared" ref="R97:R104" si="64">Q97*0.75</f>
        <v>90</v>
      </c>
      <c r="S97" s="13">
        <v>1</v>
      </c>
      <c r="T97" s="13">
        <f t="shared" ref="T97:T104" si="65">S97*R97</f>
        <v>90</v>
      </c>
      <c r="U97" s="13">
        <f t="shared" ref="U97:U104" si="66">T97+R97</f>
        <v>180</v>
      </c>
      <c r="V97" s="53">
        <f t="shared" ref="V97:V104" si="67">U97/30</f>
        <v>6</v>
      </c>
      <c r="W97" s="84">
        <f t="shared" ref="W97:W104" si="68">U97*1.25</f>
        <v>225</v>
      </c>
    </row>
    <row r="98" spans="2:23" x14ac:dyDescent="0.2">
      <c r="B98" s="7">
        <v>41</v>
      </c>
      <c r="C98" s="7" t="s">
        <v>209</v>
      </c>
      <c r="D98" s="7">
        <v>47</v>
      </c>
      <c r="E98" s="72" t="s">
        <v>437</v>
      </c>
      <c r="F98" s="72" t="s">
        <v>264</v>
      </c>
      <c r="G98" s="1">
        <v>8</v>
      </c>
      <c r="H98" s="1">
        <v>2</v>
      </c>
      <c r="I98" s="1">
        <v>2</v>
      </c>
      <c r="J98" s="84">
        <v>2</v>
      </c>
      <c r="K98" s="13">
        <f t="shared" si="60"/>
        <v>6</v>
      </c>
      <c r="L98" s="90" t="s">
        <v>386</v>
      </c>
      <c r="M98" s="47">
        <f t="shared" si="61"/>
        <v>4.5</v>
      </c>
      <c r="N98" s="13">
        <f t="shared" si="62"/>
        <v>40</v>
      </c>
      <c r="O98" s="13">
        <f t="shared" si="62"/>
        <v>40</v>
      </c>
      <c r="P98" s="13">
        <f t="shared" si="62"/>
        <v>40</v>
      </c>
      <c r="Q98" s="13">
        <f t="shared" si="63"/>
        <v>120</v>
      </c>
      <c r="R98" s="13">
        <f t="shared" si="64"/>
        <v>90</v>
      </c>
      <c r="S98" s="13">
        <v>1</v>
      </c>
      <c r="T98" s="13">
        <f t="shared" si="65"/>
        <v>90</v>
      </c>
      <c r="U98" s="13">
        <f t="shared" si="66"/>
        <v>180</v>
      </c>
      <c r="V98" s="53">
        <f t="shared" si="67"/>
        <v>6</v>
      </c>
      <c r="W98" s="84">
        <f t="shared" si="68"/>
        <v>225</v>
      </c>
    </row>
    <row r="99" spans="2:23" x14ac:dyDescent="0.2">
      <c r="B99" s="7">
        <v>44</v>
      </c>
      <c r="C99" s="7" t="s">
        <v>209</v>
      </c>
      <c r="D99" s="7">
        <v>50</v>
      </c>
      <c r="E99" s="72" t="s">
        <v>416</v>
      </c>
      <c r="F99" s="72" t="s">
        <v>417</v>
      </c>
      <c r="G99" s="1">
        <v>9</v>
      </c>
      <c r="H99" s="1">
        <v>4</v>
      </c>
      <c r="I99" s="1">
        <v>2</v>
      </c>
      <c r="J99" s="84"/>
      <c r="K99" s="13">
        <f t="shared" si="60"/>
        <v>6</v>
      </c>
      <c r="L99" s="85" t="s">
        <v>388</v>
      </c>
      <c r="M99" s="47">
        <f t="shared" si="61"/>
        <v>4.5</v>
      </c>
      <c r="N99" s="13">
        <f t="shared" si="62"/>
        <v>80</v>
      </c>
      <c r="O99" s="13">
        <f t="shared" si="62"/>
        <v>40</v>
      </c>
      <c r="P99" s="13">
        <f t="shared" si="62"/>
        <v>0</v>
      </c>
      <c r="Q99" s="13">
        <f t="shared" si="63"/>
        <v>120</v>
      </c>
      <c r="R99" s="13">
        <f t="shared" si="64"/>
        <v>90</v>
      </c>
      <c r="S99" s="13">
        <v>1</v>
      </c>
      <c r="T99" s="13">
        <f t="shared" si="65"/>
        <v>90</v>
      </c>
      <c r="U99" s="13">
        <f t="shared" si="66"/>
        <v>180</v>
      </c>
      <c r="V99" s="53">
        <f t="shared" si="67"/>
        <v>6</v>
      </c>
      <c r="W99" s="13">
        <f t="shared" si="68"/>
        <v>225</v>
      </c>
    </row>
    <row r="100" spans="2:23" x14ac:dyDescent="0.2">
      <c r="B100" s="7">
        <v>45</v>
      </c>
      <c r="C100" s="91" t="s">
        <v>209</v>
      </c>
      <c r="D100" s="7">
        <v>51</v>
      </c>
      <c r="E100" s="72" t="s">
        <v>420</v>
      </c>
      <c r="F100" s="72" t="s">
        <v>421</v>
      </c>
      <c r="G100" s="1">
        <v>9</v>
      </c>
      <c r="H100" s="1">
        <v>4</v>
      </c>
      <c r="I100" s="1">
        <v>2</v>
      </c>
      <c r="J100" s="84"/>
      <c r="K100" s="13">
        <f t="shared" si="60"/>
        <v>6</v>
      </c>
      <c r="L100" s="90" t="s">
        <v>415</v>
      </c>
      <c r="M100" s="47">
        <f t="shared" si="61"/>
        <v>6.75</v>
      </c>
      <c r="N100" s="13">
        <f t="shared" si="62"/>
        <v>80</v>
      </c>
      <c r="O100" s="13">
        <f t="shared" si="62"/>
        <v>40</v>
      </c>
      <c r="P100" s="13">
        <f t="shared" si="62"/>
        <v>0</v>
      </c>
      <c r="Q100" s="13">
        <f t="shared" si="63"/>
        <v>120</v>
      </c>
      <c r="R100" s="13">
        <f t="shared" si="64"/>
        <v>90</v>
      </c>
      <c r="S100" s="13">
        <v>1.5</v>
      </c>
      <c r="T100" s="13">
        <f t="shared" si="65"/>
        <v>135</v>
      </c>
      <c r="U100" s="13">
        <f t="shared" si="66"/>
        <v>225</v>
      </c>
      <c r="V100" s="53">
        <f t="shared" si="67"/>
        <v>7.5</v>
      </c>
      <c r="W100" s="84">
        <f t="shared" si="68"/>
        <v>281.25</v>
      </c>
    </row>
    <row r="101" spans="2:23" x14ac:dyDescent="0.2">
      <c r="B101" s="7">
        <v>47</v>
      </c>
      <c r="C101" s="7" t="s">
        <v>209</v>
      </c>
      <c r="D101" s="7">
        <v>52</v>
      </c>
      <c r="E101" s="72" t="s">
        <v>423</v>
      </c>
      <c r="F101" s="72" t="s">
        <v>424</v>
      </c>
      <c r="G101" s="1">
        <v>9</v>
      </c>
      <c r="H101" s="1">
        <v>4</v>
      </c>
      <c r="I101" s="1">
        <v>2</v>
      </c>
      <c r="J101" s="84"/>
      <c r="K101" s="13">
        <f t="shared" si="60"/>
        <v>6</v>
      </c>
      <c r="L101" s="90" t="s">
        <v>438</v>
      </c>
      <c r="M101" s="47">
        <f t="shared" si="61"/>
        <v>4.5</v>
      </c>
      <c r="N101" s="13">
        <f t="shared" si="62"/>
        <v>80</v>
      </c>
      <c r="O101" s="13">
        <f t="shared" si="62"/>
        <v>40</v>
      </c>
      <c r="P101" s="13">
        <f t="shared" si="62"/>
        <v>0</v>
      </c>
      <c r="Q101" s="13">
        <f t="shared" si="63"/>
        <v>120</v>
      </c>
      <c r="R101" s="13">
        <f t="shared" si="64"/>
        <v>90</v>
      </c>
      <c r="S101" s="13">
        <v>1</v>
      </c>
      <c r="T101" s="13">
        <f t="shared" si="65"/>
        <v>90</v>
      </c>
      <c r="U101" s="13">
        <f t="shared" si="66"/>
        <v>180</v>
      </c>
      <c r="V101" s="53">
        <f t="shared" si="67"/>
        <v>6</v>
      </c>
      <c r="W101" s="84">
        <f t="shared" si="68"/>
        <v>225</v>
      </c>
    </row>
    <row r="102" spans="2:23" x14ac:dyDescent="0.2">
      <c r="B102" s="7">
        <v>48</v>
      </c>
      <c r="C102" s="7" t="s">
        <v>209</v>
      </c>
      <c r="D102" s="7">
        <v>53</v>
      </c>
      <c r="E102" s="72" t="s">
        <v>439</v>
      </c>
      <c r="F102" s="72" t="s">
        <v>287</v>
      </c>
      <c r="G102" s="1">
        <v>9</v>
      </c>
      <c r="H102" s="1">
        <v>4</v>
      </c>
      <c r="I102" s="1">
        <v>2</v>
      </c>
      <c r="J102" s="84"/>
      <c r="K102" s="13">
        <f t="shared" si="60"/>
        <v>6</v>
      </c>
      <c r="L102" s="85" t="s">
        <v>376</v>
      </c>
      <c r="M102" s="47">
        <f t="shared" si="61"/>
        <v>4.5</v>
      </c>
      <c r="N102" s="13">
        <f t="shared" si="62"/>
        <v>80</v>
      </c>
      <c r="O102" s="13">
        <f t="shared" si="62"/>
        <v>40</v>
      </c>
      <c r="P102" s="13">
        <f t="shared" si="62"/>
        <v>0</v>
      </c>
      <c r="Q102" s="13">
        <f t="shared" si="63"/>
        <v>120</v>
      </c>
      <c r="R102" s="13">
        <f t="shared" si="64"/>
        <v>90</v>
      </c>
      <c r="S102" s="13">
        <v>1</v>
      </c>
      <c r="T102" s="13">
        <f t="shared" si="65"/>
        <v>90</v>
      </c>
      <c r="U102" s="13">
        <f t="shared" si="66"/>
        <v>180</v>
      </c>
      <c r="V102" s="53">
        <f t="shared" si="67"/>
        <v>6</v>
      </c>
      <c r="W102" s="13">
        <f t="shared" si="68"/>
        <v>225</v>
      </c>
    </row>
    <row r="103" spans="2:23" x14ac:dyDescent="0.2">
      <c r="B103" s="7">
        <v>49</v>
      </c>
      <c r="C103" s="7" t="s">
        <v>209</v>
      </c>
      <c r="D103" s="7">
        <v>54</v>
      </c>
      <c r="E103" s="45" t="s">
        <v>440</v>
      </c>
      <c r="F103" s="102" t="s">
        <v>290</v>
      </c>
      <c r="G103" s="1">
        <v>9</v>
      </c>
      <c r="H103" s="1">
        <v>2</v>
      </c>
      <c r="I103" s="1">
        <v>2</v>
      </c>
      <c r="J103" s="13">
        <v>2</v>
      </c>
      <c r="K103" s="13">
        <f t="shared" si="60"/>
        <v>6</v>
      </c>
      <c r="L103" s="46" t="s">
        <v>437</v>
      </c>
      <c r="M103" s="47">
        <f t="shared" si="61"/>
        <v>4.5</v>
      </c>
      <c r="N103" s="13">
        <f t="shared" si="62"/>
        <v>40</v>
      </c>
      <c r="O103" s="13">
        <f t="shared" si="62"/>
        <v>40</v>
      </c>
      <c r="P103" s="13">
        <f t="shared" si="62"/>
        <v>40</v>
      </c>
      <c r="Q103" s="13">
        <f t="shared" si="63"/>
        <v>120</v>
      </c>
      <c r="R103" s="13">
        <f t="shared" si="64"/>
        <v>90</v>
      </c>
      <c r="S103" s="13">
        <v>1</v>
      </c>
      <c r="T103" s="13">
        <f t="shared" si="65"/>
        <v>90</v>
      </c>
      <c r="U103" s="13">
        <f t="shared" si="66"/>
        <v>180</v>
      </c>
      <c r="V103" s="53">
        <f t="shared" si="67"/>
        <v>6</v>
      </c>
      <c r="W103" s="13">
        <f t="shared" si="68"/>
        <v>225</v>
      </c>
    </row>
    <row r="104" spans="2:23" x14ac:dyDescent="0.2">
      <c r="B104" s="7">
        <v>50</v>
      </c>
      <c r="C104" s="7" t="s">
        <v>209</v>
      </c>
      <c r="D104" s="7">
        <v>55</v>
      </c>
      <c r="E104" s="45" t="s">
        <v>426</v>
      </c>
      <c r="F104" s="7" t="s">
        <v>293</v>
      </c>
      <c r="G104" s="1">
        <v>10</v>
      </c>
      <c r="H104" s="1">
        <v>4</v>
      </c>
      <c r="I104" s="1">
        <v>6</v>
      </c>
      <c r="J104" s="7"/>
      <c r="K104" s="13">
        <f t="shared" si="60"/>
        <v>10</v>
      </c>
      <c r="L104" s="46" t="s">
        <v>427</v>
      </c>
      <c r="M104" s="47">
        <f t="shared" si="61"/>
        <v>37.5</v>
      </c>
      <c r="N104" s="13">
        <f>H104*20</f>
        <v>80</v>
      </c>
      <c r="O104" s="13">
        <f>(I104+J104)*20</f>
        <v>120</v>
      </c>
      <c r="P104" s="13">
        <v>0</v>
      </c>
      <c r="Q104" s="13">
        <f t="shared" si="63"/>
        <v>200</v>
      </c>
      <c r="R104" s="13">
        <f t="shared" si="64"/>
        <v>150</v>
      </c>
      <c r="S104" s="13">
        <v>5</v>
      </c>
      <c r="T104" s="13">
        <f t="shared" si="65"/>
        <v>750</v>
      </c>
      <c r="U104" s="13">
        <f t="shared" si="66"/>
        <v>900</v>
      </c>
      <c r="V104" s="53">
        <f t="shared" si="67"/>
        <v>30</v>
      </c>
      <c r="W104" s="13">
        <f t="shared" si="68"/>
        <v>1125</v>
      </c>
    </row>
    <row r="105" spans="2:23" x14ac:dyDescent="0.2">
      <c r="B105" s="95" t="s">
        <v>441</v>
      </c>
      <c r="C105" s="94"/>
      <c r="D105" s="94" t="s">
        <v>442</v>
      </c>
      <c r="E105" s="94"/>
      <c r="F105" s="94"/>
      <c r="G105" s="94"/>
      <c r="H105" s="94">
        <f>SUM(H89:H104)</f>
        <v>40</v>
      </c>
      <c r="I105" s="94">
        <f t="shared" ref="I105:W105" si="69">SUM(I89:I104)</f>
        <v>30</v>
      </c>
      <c r="J105" s="94">
        <f t="shared" si="69"/>
        <v>8</v>
      </c>
      <c r="K105" s="94">
        <f t="shared" si="69"/>
        <v>78</v>
      </c>
      <c r="L105" s="96"/>
      <c r="M105" s="96"/>
      <c r="N105" s="94">
        <f t="shared" si="69"/>
        <v>800</v>
      </c>
      <c r="O105" s="94">
        <f t="shared" si="69"/>
        <v>600</v>
      </c>
      <c r="P105" s="94">
        <f t="shared" si="69"/>
        <v>160</v>
      </c>
      <c r="Q105" s="94">
        <f t="shared" si="69"/>
        <v>1560</v>
      </c>
      <c r="R105" s="94">
        <f t="shared" si="69"/>
        <v>1170</v>
      </c>
      <c r="S105" s="94">
        <f t="shared" si="69"/>
        <v>17.5</v>
      </c>
      <c r="T105" s="94">
        <f t="shared" si="69"/>
        <v>1815</v>
      </c>
      <c r="U105" s="94">
        <f t="shared" si="69"/>
        <v>2985</v>
      </c>
      <c r="V105" s="94">
        <f t="shared" si="69"/>
        <v>99.5</v>
      </c>
      <c r="W105" s="94">
        <f t="shared" si="69"/>
        <v>3731.25</v>
      </c>
    </row>
    <row r="106" spans="2:23" x14ac:dyDescent="0.2">
      <c r="B106" s="95" t="s">
        <v>430</v>
      </c>
      <c r="C106" s="94"/>
      <c r="D106" s="94"/>
      <c r="E106" s="94"/>
      <c r="F106" s="94"/>
      <c r="G106" s="94"/>
      <c r="H106" s="94">
        <f>H62+H105</f>
        <v>169</v>
      </c>
      <c r="I106" s="94">
        <f>I62+I105</f>
        <v>141</v>
      </c>
      <c r="J106" s="94">
        <f>J62+J105</f>
        <v>14</v>
      </c>
      <c r="K106" s="94">
        <f>K62+K105</f>
        <v>324</v>
      </c>
      <c r="L106" s="94"/>
      <c r="M106" s="94"/>
      <c r="N106" s="94">
        <f t="shared" ref="N106:W106" si="70">N62+N105</f>
        <v>3380</v>
      </c>
      <c r="O106" s="94">
        <f t="shared" si="70"/>
        <v>2820</v>
      </c>
      <c r="P106" s="94">
        <f t="shared" si="70"/>
        <v>280</v>
      </c>
      <c r="Q106" s="94">
        <f t="shared" si="70"/>
        <v>6480</v>
      </c>
      <c r="R106" s="94">
        <f t="shared" si="70"/>
        <v>4860</v>
      </c>
      <c r="S106" s="94">
        <f t="shared" si="70"/>
        <v>55</v>
      </c>
      <c r="T106" s="94">
        <f t="shared" si="70"/>
        <v>5115</v>
      </c>
      <c r="U106" s="94">
        <f t="shared" si="70"/>
        <v>9975</v>
      </c>
      <c r="V106" s="94">
        <f t="shared" si="70"/>
        <v>332.5</v>
      </c>
      <c r="W106" s="94">
        <f t="shared" si="70"/>
        <v>12468.75</v>
      </c>
    </row>
  </sheetData>
  <mergeCells count="2">
    <mergeCell ref="Z8:Z9"/>
    <mergeCell ref="AA8:A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DOCENCIA 2021</vt:lpstr>
      <vt:lpstr>PLAN ASIGNATURA DOCENCIA</vt:lpstr>
      <vt:lpstr>TIEMPO COMPLETO</vt:lpstr>
      <vt:lpstr>PLAN Tiempo Completo</vt:lpstr>
      <vt:lpstr>Plan de Estudios CIS</vt:lpstr>
      <vt:lpstr>PLAN ASIGNATURA DOCENCIA!Área_de_impresión</vt:lpstr>
      <vt:lpstr>PLAN Tiempo Completo!Área_de_impresión</vt:lpstr>
      <vt:lpstr>PLAN ASIGNATURA DOCENCIA!Títulos_a_imprimir</vt:lpstr>
      <vt:lpstr>PLAN Tiempo Completo!Títulos_a_imprimir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HURTADO CAMPOS MARIA ELIANA</dc:creator>
  <cp:lastModifiedBy>WILLIAM</cp:lastModifiedBy>
  <cp:lastPrinted>2023-03-11T20:26:32Z</cp:lastPrinted>
  <dcterms:created xsi:type="dcterms:W3CDTF">2016-11-04T13:55:50Z</dcterms:created>
  <dcterms:modified xsi:type="dcterms:W3CDTF">2023-03-11T20:26:41Z</dcterms:modified>
</cp:coreProperties>
</file>