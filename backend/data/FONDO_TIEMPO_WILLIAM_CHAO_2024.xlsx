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ISCO SEAGATE\3 SECTOR PUBLICO\U.A.B.J.B\ING. SISTEMAS _ UABJB\3. ALGEBRA LINEAL\PROGRAMA ANALITICO ALGEBRA LINEAL 1.2023\Guias Nuevas 2021\"/>
    </mc:Choice>
  </mc:AlternateContent>
  <xr:revisionPtr revIDLastSave="0" documentId="8_{4606772D-B6A2-9842-A928-48CBEEDA141F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ALGEBRA II-B" sheetId="2" r:id="rId1"/>
    <sheet name="Hoja1" sheetId="1" r:id="rId2"/>
  </sheets>
  <definedNames>
    <definedName name="_xlnm.Print_Area" localSheetId="0">'ALGEBRA II-B'!$A$1:$O$57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J29" i="2"/>
  <c r="J31" i="2"/>
  <c r="J37" i="2"/>
  <c r="O8" i="2"/>
  <c r="J55" i="2"/>
  <c r="J47" i="2"/>
  <c r="J45" i="2"/>
  <c r="P11" i="2"/>
  <c r="P14" i="2"/>
  <c r="P13" i="2"/>
  <c r="P12" i="2"/>
  <c r="Q16" i="2"/>
  <c r="Q14" i="2"/>
  <c r="J11" i="2"/>
  <c r="J41" i="2"/>
  <c r="J40" i="2"/>
  <c r="J39" i="2"/>
  <c r="L38" i="2"/>
  <c r="L35" i="2"/>
  <c r="J43" i="2"/>
  <c r="K43" i="2"/>
  <c r="L43" i="2"/>
  <c r="J35" i="2"/>
  <c r="J32" i="2"/>
  <c r="J12" i="2"/>
  <c r="O4" i="2"/>
  <c r="O3" i="2"/>
  <c r="O6" i="2"/>
  <c r="J7" i="2"/>
  <c r="J36" i="2"/>
  <c r="K32" i="2"/>
  <c r="L32" i="2"/>
  <c r="J33" i="2"/>
  <c r="J14" i="2"/>
  <c r="J15" i="2"/>
  <c r="J16" i="2"/>
  <c r="J17" i="2"/>
  <c r="J18" i="2"/>
  <c r="J19" i="2"/>
  <c r="J20" i="2"/>
  <c r="K29" i="2"/>
  <c r="L29" i="2"/>
  <c r="J54" i="2"/>
  <c r="J53" i="2"/>
  <c r="J52" i="2"/>
  <c r="J51" i="2"/>
  <c r="J50" i="2"/>
  <c r="J49" i="2"/>
  <c r="J48" i="2"/>
  <c r="J46" i="2"/>
  <c r="K45" i="2"/>
  <c r="K39" i="2"/>
  <c r="L39" i="2"/>
  <c r="J25" i="2"/>
  <c r="J24" i="2"/>
  <c r="J23" i="2"/>
  <c r="J22" i="2"/>
  <c r="J13" i="2"/>
  <c r="J55" i="1"/>
  <c r="J54" i="1"/>
  <c r="J53" i="1"/>
  <c r="J52" i="1"/>
  <c r="J51" i="1"/>
  <c r="J50" i="1"/>
  <c r="J49" i="1"/>
  <c r="J48" i="1"/>
  <c r="J47" i="1"/>
  <c r="J46" i="1"/>
  <c r="K45" i="1"/>
  <c r="J45" i="1"/>
  <c r="J40" i="1"/>
  <c r="K39" i="1"/>
  <c r="J25" i="1"/>
  <c r="J24" i="1"/>
  <c r="J23" i="1"/>
  <c r="J22" i="1"/>
  <c r="J14" i="1"/>
  <c r="J13" i="1"/>
  <c r="I12" i="1"/>
  <c r="J12" i="1"/>
  <c r="J11" i="1"/>
  <c r="J7" i="1"/>
  <c r="O3" i="1"/>
  <c r="O6" i="1"/>
  <c r="O4" i="1"/>
  <c r="K11" i="2"/>
  <c r="O5" i="2"/>
  <c r="L45" i="2"/>
  <c r="K11" i="1"/>
  <c r="O5" i="1"/>
  <c r="O8" i="1"/>
  <c r="L39" i="1"/>
  <c r="L11" i="2"/>
  <c r="L45" i="1"/>
  <c r="K32" i="1"/>
  <c r="J35" i="1"/>
  <c r="I35" i="1"/>
  <c r="K38" i="1"/>
  <c r="K29" i="1"/>
  <c r="L11" i="1"/>
  <c r="L43" i="1"/>
  <c r="K43" i="1"/>
  <c r="J43" i="1"/>
  <c r="L56" i="1"/>
  <c r="L56" i="2"/>
  <c r="K56" i="1"/>
  <c r="K5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5" authorId="0" shapeId="0" xr:uid="{00000000-0006-0000-0000-000001000000}">
      <text>
        <r>
          <rPr>
            <sz val="11"/>
            <color rgb="FF000000"/>
            <rFont val="Calibri"/>
          </rPr>
          <t>UAB:
hrs contrato (-) hrs item docente (-) hrs vacación (-) hrs feriados</t>
        </r>
      </text>
    </comment>
    <comment ref="M8" authorId="0" shapeId="0" xr:uid="{00000000-0006-0000-0000-000002000000}">
      <text>
        <r>
          <rPr>
            <sz val="11"/>
            <color rgb="FF000000"/>
            <rFont val="Calibri"/>
          </rPr>
          <t>UAB:
horas contrato (-) vacación (-) feriados</t>
        </r>
      </text>
    </comment>
    <comment ref="I11" authorId="0" shapeId="0" xr:uid="{00000000-0006-0000-0000-000003000000}">
      <text>
        <r>
          <rPr>
            <sz val="11"/>
            <color rgb="FF000000"/>
            <rFont val="Calibri"/>
          </rPr>
          <t>UAB:
1 hr/clase x n° clase semana x n° de asignatura</t>
        </r>
      </text>
    </comment>
    <comment ref="J13" authorId="0" shapeId="0" xr:uid="{00000000-0006-0000-0000-000004000000}">
      <text>
        <r>
          <rPr>
            <sz val="11"/>
            <color rgb="FF000000"/>
            <rFont val="Calibri"/>
          </rPr>
          <t>UAB:
20 min/practica x practica presentada x n° practica semestre x 2 semestres x n° asignaturas</t>
        </r>
      </text>
    </comment>
    <comment ref="J14" authorId="0" shapeId="0" xr:uid="{00000000-0006-0000-0000-000005000000}">
      <text>
        <r>
          <rPr>
            <sz val="11"/>
            <color rgb="FF000000"/>
            <rFont val="Calibri"/>
          </rPr>
          <t>UAB:
15 min/practica x practica presentada x n° practica semestre x 2 semestres x n° asignaturas</t>
        </r>
      </text>
    </comment>
    <comment ref="J15" authorId="0" shapeId="0" xr:uid="{00000000-0006-0000-0000-000006000000}">
      <text>
        <r>
          <rPr>
            <sz val="11"/>
            <color rgb="FF000000"/>
            <rFont val="Calibri"/>
          </rPr>
          <t>UAB:
(3 examen + 1 segunda instancia) x 2 hrs c/u x n° asignatura x 2 veces al año</t>
        </r>
      </text>
    </comment>
    <comment ref="J16" authorId="0" shapeId="0" xr:uid="{00000000-0006-0000-0000-000007000000}">
      <text>
        <r>
          <rPr>
            <sz val="11"/>
            <color rgb="FF000000"/>
            <rFont val="Calibri"/>
          </rPr>
          <t>UAB:
15 min/examen x examenes corregidos x n° examen/semestre x 2 semestres x n° asignaturas</t>
        </r>
      </text>
    </comment>
    <comment ref="J17" authorId="0" shapeId="0" xr:uid="{00000000-0006-0000-0000-000008000000}">
      <text>
        <r>
          <rPr>
            <sz val="11"/>
            <color rgb="FF000000"/>
            <rFont val="Calibri"/>
          </rPr>
          <t>UAB:
hrs consultas x n° asignaturas x 2 semestre</t>
        </r>
      </text>
    </comment>
    <comment ref="J18" authorId="0" shapeId="0" xr:uid="{00000000-0006-0000-0000-000009000000}">
      <text>
        <r>
          <rPr>
            <sz val="11"/>
            <color rgb="FF000000"/>
            <rFont val="Calibri"/>
          </rPr>
          <t>UAB:
hrs utilizadas x 2 veces al año( 2 semestre) x n° asignaturas</t>
        </r>
      </text>
    </comment>
    <comment ref="I25" authorId="0" shapeId="0" xr:uid="{00000000-0006-0000-0000-00000A000000}">
      <text>
        <r>
          <rPr>
            <sz val="11"/>
            <color rgb="FF000000"/>
            <rFont val="Calibri"/>
          </rPr>
          <t>UAB:
40 hrs semana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5" authorId="0" shapeId="0" xr:uid="{00000000-0006-0000-0100-000001000000}">
      <text>
        <r>
          <rPr>
            <sz val="11"/>
            <color rgb="FF000000"/>
            <rFont val="Calibri"/>
          </rPr>
          <t>UAB:
hrs contrato (-) hrs item docente (-) hrs vacación (-) hrs feriados</t>
        </r>
      </text>
    </comment>
    <comment ref="M8" authorId="0" shapeId="0" xr:uid="{00000000-0006-0000-0100-000002000000}">
      <text>
        <r>
          <rPr>
            <sz val="11"/>
            <color rgb="FF000000"/>
            <rFont val="Calibri"/>
          </rPr>
          <t>UAB:
horas contrato (-) vacación (-) feriados</t>
        </r>
      </text>
    </comment>
    <comment ref="I11" authorId="0" shapeId="0" xr:uid="{00000000-0006-0000-0100-000003000000}">
      <text>
        <r>
          <rPr>
            <sz val="11"/>
            <color rgb="FF000000"/>
            <rFont val="Calibri"/>
          </rPr>
          <t>UAB:
1 hr/clase x n° clase semana x n° de asignatura</t>
        </r>
      </text>
    </comment>
    <comment ref="J13" authorId="0" shapeId="0" xr:uid="{00000000-0006-0000-0100-000004000000}">
      <text>
        <r>
          <rPr>
            <sz val="11"/>
            <color rgb="FF000000"/>
            <rFont val="Calibri"/>
          </rPr>
          <t>UAB:
20 min/practica x practica presentada x n° practica semestre x 2 semestres x n° asignaturas</t>
        </r>
      </text>
    </comment>
    <comment ref="J14" authorId="0" shapeId="0" xr:uid="{00000000-0006-0000-0100-000005000000}">
      <text>
        <r>
          <rPr>
            <sz val="11"/>
            <color rgb="FF000000"/>
            <rFont val="Calibri"/>
          </rPr>
          <t>UAB:
15 min/practica x practica presentada x n° practica semestre x 2 semestres x n° asignaturas</t>
        </r>
      </text>
    </comment>
    <comment ref="J15" authorId="0" shapeId="0" xr:uid="{00000000-0006-0000-0100-000006000000}">
      <text>
        <r>
          <rPr>
            <sz val="11"/>
            <color rgb="FF000000"/>
            <rFont val="Calibri"/>
          </rPr>
          <t>UAB:
(3 examen + 1 segunda instancia) x 2 hrs c/u x n° asignatura x 2 veces al año</t>
        </r>
      </text>
    </comment>
    <comment ref="J16" authorId="0" shapeId="0" xr:uid="{00000000-0006-0000-0100-000007000000}">
      <text>
        <r>
          <rPr>
            <sz val="11"/>
            <color rgb="FF000000"/>
            <rFont val="Calibri"/>
          </rPr>
          <t>UAB:
15 min/examen x examenes corregidos x n° examen/semestre x 2 semestres x n° asignaturas</t>
        </r>
      </text>
    </comment>
    <comment ref="J17" authorId="0" shapeId="0" xr:uid="{00000000-0006-0000-0100-000008000000}">
      <text>
        <r>
          <rPr>
            <sz val="11"/>
            <color rgb="FF000000"/>
            <rFont val="Calibri"/>
          </rPr>
          <t>UAB:
hrs consultas x n° asignaturas x 2 semestre</t>
        </r>
      </text>
    </comment>
    <comment ref="J18" authorId="0" shapeId="0" xr:uid="{00000000-0006-0000-0100-000009000000}">
      <text>
        <r>
          <rPr>
            <sz val="11"/>
            <color rgb="FF000000"/>
            <rFont val="Calibri"/>
          </rPr>
          <t>UAB:
hrs utilizadas x 2 veces al año( 2 semestre) x n° asignaturas</t>
        </r>
      </text>
    </comment>
    <comment ref="I25" authorId="0" shapeId="0" xr:uid="{00000000-0006-0000-0100-00000A000000}">
      <text>
        <r>
          <rPr>
            <sz val="11"/>
            <color rgb="FF000000"/>
            <rFont val="Calibri"/>
          </rPr>
          <t>UAB:
40 hrs semana</t>
        </r>
      </text>
    </comment>
  </commentList>
</comments>
</file>

<file path=xl/sharedStrings.xml><?xml version="1.0" encoding="utf-8"?>
<sst xmlns="http://schemas.openxmlformats.org/spreadsheetml/2006/main" count="196" uniqueCount="113">
  <si>
    <t xml:space="preserve"> </t>
  </si>
  <si>
    <t>FONDO DE TIEMPO - CARRERA DE ING. CIVIL</t>
  </si>
  <si>
    <t>Semanas o Días/Año</t>
  </si>
  <si>
    <t>Hrs/Año</t>
  </si>
  <si>
    <t>Universidad Autónoma del Beni José Ballivián</t>
  </si>
  <si>
    <t>Docente:</t>
  </si>
  <si>
    <t>Contrato:</t>
  </si>
  <si>
    <t>Facultad de Ingeniería y Tecnología</t>
  </si>
  <si>
    <t>Asignatura:</t>
  </si>
  <si>
    <t>Hrs/Sem</t>
  </si>
  <si>
    <t>Clases Aula:</t>
  </si>
  <si>
    <t>Carrera de Ingeniería Civil</t>
  </si>
  <si>
    <t>Funciones Sustantivas:</t>
  </si>
  <si>
    <t>Vacación(días):</t>
  </si>
  <si>
    <t>Tiempo de dedicación:</t>
  </si>
  <si>
    <t>Tiempo completo</t>
  </si>
  <si>
    <t>Feriados Nacionales y Locales:</t>
  </si>
  <si>
    <t>Horas efectivas</t>
  </si>
  <si>
    <t>N°</t>
  </si>
  <si>
    <t>Indicadores</t>
  </si>
  <si>
    <t>Total            Hrs/Año</t>
  </si>
  <si>
    <t>%</t>
  </si>
  <si>
    <t>Evidencias</t>
  </si>
  <si>
    <t>Item</t>
  </si>
  <si>
    <t>Detalle</t>
  </si>
  <si>
    <t>DOCENTE</t>
  </si>
  <si>
    <t>Preparación de temas</t>
  </si>
  <si>
    <t>Clases en aula</t>
  </si>
  <si>
    <t>Plan de clases</t>
  </si>
  <si>
    <t>Elaboración de trabajos practicos</t>
  </si>
  <si>
    <t>Revisión y calificación de trabajos practicos</t>
  </si>
  <si>
    <t>Elaboración de examenes</t>
  </si>
  <si>
    <t>Revisión y calificación de examenes</t>
  </si>
  <si>
    <t>Consultas y reclamos de calificaciones</t>
  </si>
  <si>
    <t>elaboración de planillas e Introducción de notas al sistema moxos</t>
  </si>
  <si>
    <t>Planificación y gestión de practica extra aula</t>
  </si>
  <si>
    <t>ejecución de practica extra aula</t>
  </si>
  <si>
    <t>informe de descargo de viaje en las practicas extra aula</t>
  </si>
  <si>
    <t>Practica de Laboratorios (Centro de Computo)</t>
  </si>
  <si>
    <t>Practicas de Campo</t>
  </si>
  <si>
    <t>Producción docente (textos guías)</t>
  </si>
  <si>
    <t>Cursos de verano</t>
  </si>
  <si>
    <t>INVESTIGACIÓN</t>
  </si>
  <si>
    <t>Elaboración de trabajos de investigación</t>
  </si>
  <si>
    <t>Productos de investigación</t>
  </si>
  <si>
    <t>Participación en actividades del I.I.C.-C.I.C</t>
  </si>
  <si>
    <t>Informes de investigación</t>
  </si>
  <si>
    <t>Organización y participación de eventos científicos de la UABJB y otras instituciones</t>
  </si>
  <si>
    <t>EXTENSIÓN E INTERACCIÓN SOCIAL</t>
  </si>
  <si>
    <t>Proyectos de extensión</t>
  </si>
  <si>
    <t>Productos de trabajo de extensión e interacción social</t>
  </si>
  <si>
    <t>Proyectos de interacción</t>
  </si>
  <si>
    <t>Informes de extensión e interacción social</t>
  </si>
  <si>
    <t>Tareas en proyectos de extensión e interacción</t>
  </si>
  <si>
    <t>Participación en ferias, campañas, jornadas, tribunal externo, capacitación externa, actividades de extensión, etc.</t>
  </si>
  <si>
    <t>Capacitación complementaria</t>
  </si>
  <si>
    <t>Orientación Vocacional</t>
  </si>
  <si>
    <t>ASESORÍAS Y TUTORÍAS</t>
  </si>
  <si>
    <t>Modalidad de Graduación</t>
  </si>
  <si>
    <t>Informes de asesorías y tutorías</t>
  </si>
  <si>
    <t>TRIBUNALES</t>
  </si>
  <si>
    <t xml:space="preserve">Modalidad de Graduación, </t>
  </si>
  <si>
    <t>Actas</t>
  </si>
  <si>
    <t>Auxiliarias de docencia</t>
  </si>
  <si>
    <t>Informes</t>
  </si>
  <si>
    <t>Examenes de mesa</t>
  </si>
  <si>
    <t>Memorandum</t>
  </si>
  <si>
    <t>ADMINISTRATIVO</t>
  </si>
  <si>
    <t>APOYO INSTITUTO DE INVESTIGACIÓN</t>
  </si>
  <si>
    <t>Memorandum de designación</t>
  </si>
  <si>
    <t>Otras comisiones académicas</t>
  </si>
  <si>
    <t>VIDA UNIVERSITARIA</t>
  </si>
  <si>
    <t>Participación de actividades culturales, sociales y deportivas</t>
  </si>
  <si>
    <t>Asistencias</t>
  </si>
  <si>
    <t>Desfile día del mar</t>
  </si>
  <si>
    <t>Bautizo de la carrera</t>
  </si>
  <si>
    <t>Día de la autonomía universitaria</t>
  </si>
  <si>
    <t>Desfile 6 de agosto</t>
  </si>
  <si>
    <t>Acto académico facultativo</t>
  </si>
  <si>
    <t>Entrada folclórica universitaria</t>
  </si>
  <si>
    <t>Acto académico universitario</t>
  </si>
  <si>
    <t>Desfile del 18 de noviembre</t>
  </si>
  <si>
    <t>Claustros universitarios</t>
  </si>
  <si>
    <t>Asociación Docente</t>
  </si>
  <si>
    <t>TOTAL HORAS</t>
  </si>
  <si>
    <t>Carrera de Ingeniería de Sistemas</t>
  </si>
  <si>
    <t>Semanas/Año</t>
  </si>
  <si>
    <t>Ing. Aldo Daniel Vacaflores Moreno</t>
  </si>
  <si>
    <t>CIRCUITOS ELÉCTRICO (CBE-800)</t>
  </si>
  <si>
    <t>Visitas a instalciones de la planta de distribucion eléctrica Moxos.</t>
  </si>
  <si>
    <t>Programa de clases</t>
  </si>
  <si>
    <t>Archivos semestrales</t>
  </si>
  <si>
    <t>Calificación</t>
  </si>
  <si>
    <t>Examenes</t>
  </si>
  <si>
    <t>Notas</t>
  </si>
  <si>
    <t>Planilla de calificaciones</t>
  </si>
  <si>
    <t>Imágenes fotográficoas</t>
  </si>
  <si>
    <t>William Chao Rivero</t>
  </si>
  <si>
    <t>Texto Guía</t>
  </si>
  <si>
    <t>Informe de descargo de viaje en las practicas extra aula</t>
  </si>
  <si>
    <t>Ejecución de practica extra aula</t>
  </si>
  <si>
    <t>Elaboración de planillas e Introducción de notas al sistema moxos</t>
  </si>
  <si>
    <t>Elaboración de Trabajos Prácticos</t>
  </si>
  <si>
    <t>Revisión y Calificación de Trabajos Prácticos</t>
  </si>
  <si>
    <t>Elaboración de Examenes</t>
  </si>
  <si>
    <t>Revisión y Calificación de Examenes</t>
  </si>
  <si>
    <t>Consultas y Reclamos de Calificaciones</t>
  </si>
  <si>
    <t>Participación en actividades del I.I.C.-C.I.S</t>
  </si>
  <si>
    <t>FONDO DE TIEMPO - CARRERA DE INGENIERÍA DE SISTEMAS</t>
  </si>
  <si>
    <t>Acta, Memorandum</t>
  </si>
  <si>
    <t>Memorandum, Planillas</t>
  </si>
  <si>
    <t>Memorandum, Acta</t>
  </si>
  <si>
    <t>Gestión de Proyectos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</si>
</sst>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rgb="FF000000"/>
      <name val="Calibri"/>
    </font>
    <font>
      <b/>
      <sz val="14"/>
      <color rgb="FF000000"/>
      <name val="Arial"/>
    </font>
    <font>
      <b/>
      <sz val="11"/>
      <color rgb="FF000000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rgb="FFE5B8B7"/>
        <bgColor rgb="FFE5B8B7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C2D69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E5B8B7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79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2" borderId="1" xfId="0" applyFont="1" applyFill="1" applyBorder="1"/>
    <xf numFmtId="0" fontId="0" fillId="2" borderId="1" xfId="0" applyFont="1" applyFill="1" applyBorder="1"/>
    <xf numFmtId="0" fontId="0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0" xfId="0" applyFont="1" applyAlignment="1">
      <alignment horizontal="right"/>
    </xf>
    <xf numFmtId="0" fontId="0" fillId="2" borderId="1" xfId="0" quotePrefix="1" applyFont="1" applyFill="1" applyBorder="1"/>
    <xf numFmtId="0" fontId="0" fillId="0" borderId="2" xfId="0" applyFont="1" applyBorder="1" applyAlignment="1">
      <alignment horizontal="center" vertical="center"/>
    </xf>
    <xf numFmtId="0" fontId="0" fillId="2" borderId="13" xfId="0" applyFont="1" applyFill="1" applyBorder="1" applyAlignment="1">
      <alignment horizontal="center" vertical="center"/>
    </xf>
    <xf numFmtId="0" fontId="0" fillId="0" borderId="14" xfId="0" applyFont="1" applyBorder="1" applyAlignment="1">
      <alignment horizontal="center"/>
    </xf>
    <xf numFmtId="0" fontId="0" fillId="3" borderId="17" xfId="0" applyFont="1" applyFill="1" applyBorder="1" applyAlignment="1">
      <alignment horizontal="center" wrapText="1"/>
    </xf>
    <xf numFmtId="0" fontId="0" fillId="0" borderId="0" xfId="0" applyFont="1" applyAlignment="1">
      <alignment horizontal="left" vertical="top"/>
    </xf>
    <xf numFmtId="0" fontId="0" fillId="2" borderId="18" xfId="0" applyFont="1" applyFill="1" applyBorder="1" applyAlignment="1">
      <alignment horizontal="center" wrapText="1"/>
    </xf>
    <xf numFmtId="0" fontId="0" fillId="0" borderId="16" xfId="0" applyFont="1" applyBorder="1" applyAlignment="1">
      <alignment horizontal="left" vertical="top"/>
    </xf>
    <xf numFmtId="0" fontId="0" fillId="0" borderId="16" xfId="0" applyFont="1" applyBorder="1" applyAlignment="1">
      <alignment horizontal="center" wrapText="1"/>
    </xf>
    <xf numFmtId="0" fontId="0" fillId="2" borderId="1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 wrapText="1"/>
    </xf>
    <xf numFmtId="0" fontId="0" fillId="2" borderId="18" xfId="0" applyFont="1" applyFill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8" xfId="0" applyFont="1" applyBorder="1" applyAlignment="1">
      <alignment horizontal="center" vertical="top"/>
    </xf>
    <xf numFmtId="0" fontId="0" fillId="0" borderId="16" xfId="0" applyFont="1" applyBorder="1" applyAlignment="1">
      <alignment horizontal="center" vertical="top"/>
    </xf>
    <xf numFmtId="0" fontId="0" fillId="0" borderId="12" xfId="0" applyFont="1" applyBorder="1" applyAlignment="1">
      <alignment horizontal="center" vertical="top" wrapText="1"/>
    </xf>
    <xf numFmtId="0" fontId="0" fillId="0" borderId="2" xfId="0" applyFont="1" applyBorder="1" applyAlignment="1">
      <alignment horizontal="center"/>
    </xf>
    <xf numFmtId="0" fontId="0" fillId="0" borderId="14" xfId="0" applyFont="1" applyBorder="1" applyAlignment="1">
      <alignment horizontal="left" vertical="center"/>
    </xf>
    <xf numFmtId="0" fontId="0" fillId="0" borderId="15" xfId="0" applyFont="1" applyBorder="1" applyAlignment="1">
      <alignment horizontal="center"/>
    </xf>
    <xf numFmtId="164" fontId="0" fillId="0" borderId="15" xfId="0" applyNumberFormat="1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4" borderId="19" xfId="0" applyFont="1" applyFill="1" applyBorder="1"/>
    <xf numFmtId="0" fontId="0" fillId="0" borderId="19" xfId="0" applyFont="1" applyBorder="1" applyAlignment="1">
      <alignment horizontal="center" vertical="center"/>
    </xf>
    <xf numFmtId="0" fontId="0" fillId="2" borderId="20" xfId="0" applyFont="1" applyFill="1" applyBorder="1" applyAlignment="1">
      <alignment horizontal="center" vertical="center"/>
    </xf>
    <xf numFmtId="0" fontId="0" fillId="4" borderId="21" xfId="0" applyFont="1" applyFill="1" applyBorder="1" applyAlignment="1">
      <alignment horizontal="center"/>
    </xf>
    <xf numFmtId="0" fontId="0" fillId="2" borderId="21" xfId="0" applyFont="1" applyFill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9" xfId="0" applyFont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16" xfId="0" applyFont="1" applyBorder="1" applyAlignment="1">
      <alignment horizontal="left" vertical="center"/>
    </xf>
    <xf numFmtId="0" fontId="0" fillId="2" borderId="20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0" xfId="0" applyFont="1"/>
    <xf numFmtId="0" fontId="0" fillId="0" borderId="14" xfId="0" applyFont="1" applyBorder="1"/>
    <xf numFmtId="0" fontId="0" fillId="0" borderId="10" xfId="0" applyFont="1" applyBorder="1"/>
    <xf numFmtId="0" fontId="0" fillId="0" borderId="11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2" fillId="5" borderId="1" xfId="0" applyFont="1" applyFill="1" applyBorder="1"/>
    <xf numFmtId="0" fontId="0" fillId="5" borderId="1" xfId="0" applyFont="1" applyFill="1" applyBorder="1"/>
    <xf numFmtId="0" fontId="0" fillId="5" borderId="1" xfId="0" applyFont="1" applyFill="1" applyBorder="1" applyAlignment="1">
      <alignment horizontal="center"/>
    </xf>
    <xf numFmtId="0" fontId="0" fillId="6" borderId="0" xfId="0" applyFont="1" applyFill="1" applyAlignment="1">
      <alignment horizontal="center"/>
    </xf>
    <xf numFmtId="0" fontId="0" fillId="5" borderId="1" xfId="0" quotePrefix="1" applyFont="1" applyFill="1" applyBorder="1"/>
    <xf numFmtId="0" fontId="0" fillId="7" borderId="21" xfId="0" applyFont="1" applyFill="1" applyBorder="1" applyAlignment="1">
      <alignment horizontal="center"/>
    </xf>
    <xf numFmtId="0" fontId="0" fillId="0" borderId="0" xfId="0" applyFont="1" applyAlignment="1"/>
    <xf numFmtId="0" fontId="0" fillId="0" borderId="2" xfId="0" applyFont="1" applyBorder="1" applyAlignment="1">
      <alignment horizontal="center" vertical="center"/>
    </xf>
    <xf numFmtId="0" fontId="0" fillId="5" borderId="13" xfId="0" applyFont="1" applyFill="1" applyBorder="1" applyAlignment="1">
      <alignment horizontal="center" vertical="center"/>
    </xf>
    <xf numFmtId="0" fontId="0" fillId="8" borderId="17" xfId="0" applyFont="1" applyFill="1" applyBorder="1" applyAlignment="1">
      <alignment horizontal="center" wrapText="1"/>
    </xf>
    <xf numFmtId="0" fontId="0" fillId="5" borderId="18" xfId="0" applyFont="1" applyFill="1" applyBorder="1" applyAlignment="1">
      <alignment horizontal="center" wrapText="1"/>
    </xf>
    <xf numFmtId="0" fontId="0" fillId="6" borderId="16" xfId="0" applyFont="1" applyFill="1" applyBorder="1" applyAlignment="1">
      <alignment horizontal="center" wrapText="1"/>
    </xf>
    <xf numFmtId="0" fontId="0" fillId="5" borderId="18" xfId="0" applyFont="1" applyFill="1" applyBorder="1" applyAlignment="1">
      <alignment horizontal="center" vertical="center" wrapText="1"/>
    </xf>
    <xf numFmtId="0" fontId="0" fillId="5" borderId="18" xfId="0" applyFont="1" applyFill="1" applyBorder="1" applyAlignment="1">
      <alignment horizontal="center"/>
    </xf>
    <xf numFmtId="0" fontId="0" fillId="5" borderId="21" xfId="0" applyFont="1" applyFill="1" applyBorder="1" applyAlignment="1">
      <alignment horizontal="center"/>
    </xf>
    <xf numFmtId="0" fontId="0" fillId="5" borderId="20" xfId="0" applyFont="1" applyFill="1" applyBorder="1" applyAlignment="1">
      <alignment horizontal="center"/>
    </xf>
    <xf numFmtId="1" fontId="0" fillId="0" borderId="0" xfId="0" applyNumberFormat="1" applyFont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/>
    <xf numFmtId="0" fontId="0" fillId="0" borderId="1" xfId="0" applyFont="1" applyBorder="1" applyAlignment="1"/>
    <xf numFmtId="0" fontId="3" fillId="0" borderId="1" xfId="0" applyFont="1" applyBorder="1" applyAlignment="1"/>
    <xf numFmtId="0" fontId="0" fillId="0" borderId="21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7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/>
    </xf>
    <xf numFmtId="0" fontId="0" fillId="7" borderId="27" xfId="0" applyFont="1" applyFill="1" applyBorder="1"/>
    <xf numFmtId="0" fontId="0" fillId="5" borderId="27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5" borderId="1" xfId="0" applyFont="1" applyFill="1" applyBorder="1"/>
    <xf numFmtId="0" fontId="0" fillId="0" borderId="17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0" fillId="0" borderId="18" xfId="0" applyFont="1" applyBorder="1" applyAlignment="1">
      <alignment horizontal="left" vertical="top"/>
    </xf>
    <xf numFmtId="0" fontId="0" fillId="0" borderId="13" xfId="0" applyFont="1" applyBorder="1" applyAlignment="1">
      <alignment horizontal="left" vertical="center"/>
    </xf>
    <xf numFmtId="0" fontId="0" fillId="0" borderId="7" xfId="0" applyFont="1" applyBorder="1" applyAlignment="1">
      <alignment horizontal="left" vertical="center"/>
    </xf>
    <xf numFmtId="0" fontId="0" fillId="0" borderId="22" xfId="0" applyFont="1" applyBorder="1" applyAlignment="1">
      <alignment horizontal="left" vertical="center"/>
    </xf>
    <xf numFmtId="0" fontId="0" fillId="0" borderId="0" xfId="0" applyFont="1" applyAlignment="1">
      <alignment horizontal="left" vertical="top"/>
    </xf>
    <xf numFmtId="0" fontId="0" fillId="0" borderId="0" xfId="0" applyFont="1" applyAlignment="1"/>
    <xf numFmtId="0" fontId="3" fillId="0" borderId="16" xfId="0" applyFont="1" applyBorder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9" xfId="0" applyFont="1" applyBorder="1"/>
    <xf numFmtId="0" fontId="2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0" fillId="0" borderId="11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2" fillId="0" borderId="11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3" fillId="0" borderId="10" xfId="0" applyFont="1" applyBorder="1"/>
    <xf numFmtId="0" fontId="2" fillId="0" borderId="6" xfId="0" applyFont="1" applyBorder="1" applyAlignment="1">
      <alignment horizontal="center"/>
    </xf>
    <xf numFmtId="0" fontId="0" fillId="0" borderId="14" xfId="0" applyFont="1" applyBorder="1" applyAlignment="1">
      <alignment horizontal="left" wrapText="1"/>
    </xf>
    <xf numFmtId="0" fontId="0" fillId="0" borderId="6" xfId="0" applyFont="1" applyBorder="1" applyAlignment="1">
      <alignment horizontal="center" vertical="center"/>
    </xf>
    <xf numFmtId="0" fontId="3" fillId="0" borderId="14" xfId="0" applyFont="1" applyBorder="1"/>
    <xf numFmtId="164" fontId="0" fillId="0" borderId="2" xfId="0" applyNumberFormat="1" applyFont="1" applyBorder="1" applyAlignment="1">
      <alignment horizontal="center" vertical="center"/>
    </xf>
    <xf numFmtId="0" fontId="3" fillId="0" borderId="15" xfId="0" applyFont="1" applyBorder="1"/>
    <xf numFmtId="0" fontId="0" fillId="0" borderId="0" xfId="0" applyFont="1" applyAlignment="1">
      <alignment horizontal="left" wrapText="1"/>
    </xf>
    <xf numFmtId="0" fontId="0" fillId="0" borderId="14" xfId="0" applyFont="1" applyBorder="1" applyAlignment="1">
      <alignment horizontal="left"/>
    </xf>
    <xf numFmtId="0" fontId="0" fillId="0" borderId="2" xfId="0" applyFont="1" applyBorder="1" applyAlignment="1">
      <alignment horizontal="center" vertical="center"/>
    </xf>
    <xf numFmtId="0" fontId="0" fillId="0" borderId="7" xfId="0" applyFont="1" applyBorder="1" applyAlignment="1">
      <alignment horizontal="left" vertical="top"/>
    </xf>
    <xf numFmtId="0" fontId="0" fillId="0" borderId="14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3" fillId="0" borderId="21" xfId="0" applyFont="1" applyBorder="1"/>
    <xf numFmtId="0" fontId="3" fillId="0" borderId="23" xfId="0" applyFont="1" applyBorder="1"/>
    <xf numFmtId="0" fontId="3" fillId="0" borderId="17" xfId="0" applyFont="1" applyBorder="1"/>
    <xf numFmtId="0" fontId="0" fillId="0" borderId="1" xfId="0" applyFont="1" applyBorder="1" applyAlignment="1"/>
    <xf numFmtId="0" fontId="3" fillId="0" borderId="18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1" fontId="0" fillId="0" borderId="2" xfId="0" applyNumberFormat="1" applyFont="1" applyBorder="1" applyAlignment="1">
      <alignment horizontal="center" vertical="center"/>
    </xf>
    <xf numFmtId="164" fontId="0" fillId="5" borderId="2" xfId="0" applyNumberFormat="1" applyFont="1" applyFill="1" applyBorder="1" applyAlignment="1">
      <alignment horizontal="center" vertical="center"/>
    </xf>
    <xf numFmtId="0" fontId="3" fillId="6" borderId="21" xfId="0" applyFont="1" applyFill="1" applyBorder="1"/>
    <xf numFmtId="0" fontId="3" fillId="6" borderId="23" xfId="0" applyFont="1" applyFill="1" applyBorder="1"/>
    <xf numFmtId="0" fontId="0" fillId="0" borderId="17" xfId="0" applyFont="1" applyBorder="1" applyAlignment="1">
      <alignment horizontal="left"/>
    </xf>
    <xf numFmtId="0" fontId="0" fillId="0" borderId="24" xfId="0" applyFont="1" applyBorder="1" applyAlignment="1">
      <alignment horizontal="left"/>
    </xf>
    <xf numFmtId="0" fontId="0" fillId="0" borderId="25" xfId="0" applyFont="1" applyBorder="1" applyAlignment="1"/>
    <xf numFmtId="0" fontId="0" fillId="0" borderId="24" xfId="0" applyFont="1" applyBorder="1" applyAlignment="1">
      <alignment horizontal="center"/>
    </xf>
    <xf numFmtId="0" fontId="0" fillId="0" borderId="6" xfId="0" applyFont="1" applyBorder="1" applyAlignment="1">
      <alignment horizontal="left" vertical="top"/>
    </xf>
    <xf numFmtId="0" fontId="0" fillId="0" borderId="14" xfId="0" applyFont="1" applyBorder="1" applyAlignment="1">
      <alignment horizontal="left" vertical="top"/>
    </xf>
    <xf numFmtId="0" fontId="0" fillId="0" borderId="10" xfId="0" applyFont="1" applyBorder="1" applyAlignment="1">
      <alignment horizontal="left" vertical="top" wrapText="1"/>
    </xf>
    <xf numFmtId="0" fontId="0" fillId="0" borderId="10" xfId="0" applyFon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0" fillId="0" borderId="28" xfId="0" applyFont="1" applyBorder="1" applyAlignment="1">
      <alignment horizontal="left" vertical="center"/>
    </xf>
    <xf numFmtId="0" fontId="3" fillId="0" borderId="29" xfId="0" applyFont="1" applyBorder="1"/>
    <xf numFmtId="0" fontId="0" fillId="0" borderId="28" xfId="0" applyFont="1" applyBorder="1" applyAlignment="1">
      <alignment horizontal="left"/>
    </xf>
    <xf numFmtId="0" fontId="3" fillId="0" borderId="30" xfId="0" applyFont="1" applyBorder="1"/>
    <xf numFmtId="0" fontId="0" fillId="0" borderId="13" xfId="0" applyFont="1" applyBorder="1" applyAlignment="1">
      <alignment horizontal="left" wrapText="1"/>
    </xf>
    <xf numFmtId="0" fontId="0" fillId="0" borderId="17" xfId="0" applyFont="1" applyBorder="1" applyAlignment="1">
      <alignment horizontal="left" vertical="center"/>
    </xf>
    <xf numFmtId="0" fontId="0" fillId="0" borderId="17" xfId="0" applyFont="1" applyBorder="1" applyAlignment="1">
      <alignment horizontal="left" wrapText="1"/>
    </xf>
    <xf numFmtId="0" fontId="0" fillId="0" borderId="17" xfId="0" applyFont="1" applyBorder="1" applyAlignment="1">
      <alignment horizontal="center"/>
    </xf>
    <xf numFmtId="0" fontId="0" fillId="0" borderId="17" xfId="0" applyFont="1" applyBorder="1" applyAlignment="1">
      <alignment horizontal="left" vertical="top" wrapText="1"/>
    </xf>
    <xf numFmtId="0" fontId="0" fillId="0" borderId="10" xfId="0" applyFont="1" applyBorder="1" applyAlignment="1">
      <alignment horizontal="left"/>
    </xf>
    <xf numFmtId="0" fontId="4" fillId="0" borderId="6" xfId="0" applyFont="1" applyBorder="1" applyAlignment="1">
      <alignment horizontal="left" vertical="center"/>
    </xf>
    <xf numFmtId="0" fontId="3" fillId="6" borderId="9" xfId="0" applyFont="1" applyFill="1" applyBorder="1"/>
    <xf numFmtId="0" fontId="0" fillId="0" borderId="6" xfId="0" applyFont="1" applyBorder="1" applyAlignment="1">
      <alignment horizontal="left"/>
    </xf>
    <xf numFmtId="0" fontId="4" fillId="0" borderId="10" xfId="0" applyFont="1" applyBorder="1" applyAlignment="1">
      <alignment horizontal="left" vertical="center"/>
    </xf>
    <xf numFmtId="0" fontId="0" fillId="0" borderId="15" xfId="0" applyFont="1" applyBorder="1" applyAlignment="1">
      <alignment horizontal="center" vertical="center"/>
    </xf>
    <xf numFmtId="164" fontId="0" fillId="0" borderId="15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0" fillId="0" borderId="6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4" xfId="0" applyFont="1" applyBorder="1" applyAlignment="1">
      <alignment horizontal="left" vertical="top" wrapText="1"/>
    </xf>
    <xf numFmtId="0" fontId="0" fillId="0" borderId="14" xfId="0" applyFont="1" applyBorder="1" applyAlignment="1">
      <alignment horizontal="left" vertical="center"/>
    </xf>
    <xf numFmtId="2" fontId="0" fillId="0" borderId="15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164" fontId="0" fillId="2" borderId="2" xfId="0" applyNumberFormat="1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5" fillId="0" borderId="17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0" fillId="0" borderId="14" xfId="0" applyFont="1" applyBorder="1" applyAlignment="1">
      <alignment horizontal="center"/>
    </xf>
    <xf numFmtId="0" fontId="0" fillId="0" borderId="3" xfId="0" applyFont="1" applyBorder="1" applyAlignment="1">
      <alignment horizontal="left"/>
    </xf>
    <xf numFmtId="0" fontId="0" fillId="0" borderId="6" xfId="0" applyFont="1" applyBorder="1" applyAlignment="1">
      <alignment horizontal="left" wrapText="1"/>
    </xf>
    <xf numFmtId="0" fontId="0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 /><Relationship Id="rId2" Type="http://schemas.openxmlformats.org/officeDocument/2006/relationships/vmlDrawing" Target="../drawings/vmlDrawing2.vml" /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5"/>
  <sheetViews>
    <sheetView tabSelected="1" topLeftCell="B40" workbookViewId="0">
      <selection activeCell="M48" sqref="M48"/>
    </sheetView>
  </sheetViews>
  <sheetFormatPr defaultColWidth="14.390625" defaultRowHeight="15" customHeight="1" x14ac:dyDescent="0.2"/>
  <cols>
    <col min="1" max="1" width="5.6484375" customWidth="1"/>
    <col min="2" max="8" width="10.76171875" customWidth="1"/>
    <col min="9" max="9" width="11.43359375" customWidth="1"/>
    <col min="10" max="10" width="6.45703125" customWidth="1"/>
    <col min="11" max="11" width="8.47265625" customWidth="1"/>
    <col min="12" max="12" width="11.43359375" customWidth="1"/>
    <col min="13" max="13" width="16.140625" customWidth="1"/>
    <col min="14" max="14" width="14.390625" customWidth="1"/>
    <col min="15" max="16" width="10.76171875" customWidth="1"/>
  </cols>
  <sheetData>
    <row r="1" spans="1:17" ht="18" x14ac:dyDescent="0.2">
      <c r="A1" t="s">
        <v>0</v>
      </c>
      <c r="G1" s="1" t="s">
        <v>108</v>
      </c>
      <c r="I1" s="2"/>
      <c r="J1" s="2"/>
      <c r="K1" s="3"/>
      <c r="L1" s="3"/>
    </row>
    <row r="2" spans="1:17" x14ac:dyDescent="0.2">
      <c r="I2" s="2"/>
      <c r="J2" s="2"/>
      <c r="K2" s="3"/>
      <c r="L2" s="3"/>
      <c r="N2" s="4" t="s">
        <v>86</v>
      </c>
      <c r="O2" s="3" t="s">
        <v>3</v>
      </c>
    </row>
    <row r="3" spans="1:17" x14ac:dyDescent="0.2">
      <c r="A3" s="95" t="s">
        <v>4</v>
      </c>
      <c r="B3" s="93"/>
      <c r="C3" s="93"/>
      <c r="D3" s="93"/>
      <c r="E3" s="93"/>
      <c r="F3" s="6" t="s">
        <v>5</v>
      </c>
      <c r="G3" s="53" t="s">
        <v>97</v>
      </c>
      <c r="H3" s="54"/>
      <c r="I3" s="55"/>
      <c r="J3" s="56"/>
      <c r="K3" s="3"/>
      <c r="L3" s="3"/>
      <c r="M3" s="6" t="s">
        <v>6</v>
      </c>
      <c r="N3" s="10">
        <v>52</v>
      </c>
      <c r="O3" s="2">
        <f>N3*J7</f>
        <v>2080</v>
      </c>
    </row>
    <row r="4" spans="1:17" x14ac:dyDescent="0.2">
      <c r="A4" s="95" t="s">
        <v>7</v>
      </c>
      <c r="B4" s="93"/>
      <c r="C4" s="93"/>
      <c r="D4" s="93"/>
      <c r="E4" s="93"/>
      <c r="F4" s="6" t="s">
        <v>8</v>
      </c>
      <c r="G4" s="85" t="s">
        <v>112</v>
      </c>
      <c r="H4" s="53"/>
      <c r="I4" s="55"/>
      <c r="J4" s="55">
        <v>6</v>
      </c>
      <c r="K4" s="3" t="s">
        <v>9</v>
      </c>
      <c r="L4" s="3"/>
      <c r="M4" s="6" t="s">
        <v>10</v>
      </c>
      <c r="N4" s="10">
        <v>40</v>
      </c>
      <c r="O4" s="2">
        <f>(J4)*N4</f>
        <v>240</v>
      </c>
    </row>
    <row r="5" spans="1:17" x14ac:dyDescent="0.2">
      <c r="A5" s="95" t="s">
        <v>85</v>
      </c>
      <c r="B5" s="93"/>
      <c r="C5" s="93"/>
      <c r="D5" s="93"/>
      <c r="E5" s="93"/>
      <c r="F5" s="11"/>
      <c r="G5" s="54"/>
      <c r="H5" s="53"/>
      <c r="I5" s="55"/>
      <c r="J5" s="55"/>
      <c r="K5" s="3" t="s">
        <v>9</v>
      </c>
      <c r="L5" s="3"/>
      <c r="M5" s="6" t="s">
        <v>12</v>
      </c>
      <c r="N5" s="2"/>
      <c r="O5" s="5">
        <f>O3-K11-O6</f>
        <v>1124</v>
      </c>
    </row>
    <row r="6" spans="1:17" x14ac:dyDescent="0.2">
      <c r="G6" s="54"/>
      <c r="H6" s="53"/>
      <c r="I6" s="55"/>
      <c r="J6" s="55"/>
      <c r="K6" s="3" t="s">
        <v>9</v>
      </c>
      <c r="L6" s="3"/>
      <c r="M6" s="6" t="s">
        <v>13</v>
      </c>
      <c r="N6" s="9">
        <v>15</v>
      </c>
      <c r="O6" s="2">
        <f>N6*8</f>
        <v>120</v>
      </c>
    </row>
    <row r="7" spans="1:17" x14ac:dyDescent="0.2">
      <c r="F7" s="6" t="s">
        <v>14</v>
      </c>
      <c r="G7" s="57" t="s">
        <v>15</v>
      </c>
      <c r="H7" s="53"/>
      <c r="I7" s="55"/>
      <c r="J7" s="55">
        <f>IF(H7="Tiempo horario",SUM(J4:J6),40)</f>
        <v>40</v>
      </c>
      <c r="K7" s="3" t="s">
        <v>9</v>
      </c>
      <c r="L7" s="3"/>
      <c r="M7" s="6" t="s">
        <v>16</v>
      </c>
      <c r="N7" s="2"/>
      <c r="O7" s="2">
        <v>128</v>
      </c>
    </row>
    <row r="8" spans="1:17" x14ac:dyDescent="0.2">
      <c r="I8" s="2"/>
      <c r="J8" s="2"/>
      <c r="K8" s="3"/>
      <c r="L8" s="3"/>
      <c r="M8" s="6" t="s">
        <v>17</v>
      </c>
      <c r="O8" s="84">
        <f>O3-O6-O7</f>
        <v>1832</v>
      </c>
    </row>
    <row r="9" spans="1:17" x14ac:dyDescent="0.2">
      <c r="A9" s="96" t="s">
        <v>18</v>
      </c>
      <c r="B9" s="98" t="s">
        <v>19</v>
      </c>
      <c r="C9" s="99"/>
      <c r="D9" s="99"/>
      <c r="E9" s="99"/>
      <c r="F9" s="99"/>
      <c r="G9" s="99"/>
      <c r="H9" s="100"/>
      <c r="I9" s="96" t="s">
        <v>9</v>
      </c>
      <c r="J9" s="105" t="s">
        <v>3</v>
      </c>
      <c r="K9" s="105" t="s">
        <v>20</v>
      </c>
      <c r="L9" s="96" t="s">
        <v>21</v>
      </c>
      <c r="M9" s="106" t="s">
        <v>22</v>
      </c>
      <c r="N9" s="107"/>
      <c r="O9" s="108"/>
      <c r="P9" s="2"/>
    </row>
    <row r="10" spans="1:17" x14ac:dyDescent="0.2">
      <c r="A10" s="97"/>
      <c r="B10" s="98" t="s">
        <v>23</v>
      </c>
      <c r="C10" s="99"/>
      <c r="D10" s="100"/>
      <c r="E10" s="110" t="s">
        <v>24</v>
      </c>
      <c r="F10" s="107"/>
      <c r="G10" s="107"/>
      <c r="H10" s="108"/>
      <c r="I10" s="97"/>
      <c r="J10" s="97"/>
      <c r="K10" s="97"/>
      <c r="L10" s="97"/>
      <c r="M10" s="109"/>
      <c r="N10" s="102"/>
      <c r="O10" s="103"/>
      <c r="P10" s="2"/>
    </row>
    <row r="11" spans="1:17" x14ac:dyDescent="0.2">
      <c r="A11" s="118">
        <v>1</v>
      </c>
      <c r="B11" s="112" t="s">
        <v>25</v>
      </c>
      <c r="C11" s="107"/>
      <c r="D11" s="108"/>
      <c r="E11" s="119" t="s">
        <v>26</v>
      </c>
      <c r="F11" s="107"/>
      <c r="G11" s="107"/>
      <c r="H11" s="107"/>
      <c r="I11" s="61">
        <v>3</v>
      </c>
      <c r="J11" s="15">
        <f>I11*40</f>
        <v>120</v>
      </c>
      <c r="K11" s="112">
        <f>SUM(J11:J28)</f>
        <v>836</v>
      </c>
      <c r="L11" s="114">
        <f>ROUND((K11/$O$8*100),2)</f>
        <v>45.63</v>
      </c>
      <c r="M11" s="89" t="s">
        <v>90</v>
      </c>
      <c r="N11" s="90"/>
      <c r="O11" s="91"/>
      <c r="P11" s="2">
        <f>+P12/40</f>
        <v>1.875</v>
      </c>
    </row>
    <row r="12" spans="1:17" x14ac:dyDescent="0.2">
      <c r="A12" s="115"/>
      <c r="B12" s="113"/>
      <c r="C12" s="93"/>
      <c r="D12" s="94"/>
      <c r="E12" s="116" t="s">
        <v>27</v>
      </c>
      <c r="F12" s="93"/>
      <c r="G12" s="93"/>
      <c r="H12" s="93"/>
      <c r="I12" s="62">
        <v>6</v>
      </c>
      <c r="J12" s="15">
        <f>I12*40</f>
        <v>240</v>
      </c>
      <c r="K12" s="113"/>
      <c r="L12" s="115"/>
      <c r="M12" s="92" t="s">
        <v>28</v>
      </c>
      <c r="N12" s="93"/>
      <c r="O12" s="94"/>
      <c r="P12">
        <f>+P13*2</f>
        <v>75</v>
      </c>
      <c r="Q12">
        <v>60</v>
      </c>
    </row>
    <row r="13" spans="1:17" x14ac:dyDescent="0.2">
      <c r="A13" s="115"/>
      <c r="B13" s="113"/>
      <c r="C13" s="93"/>
      <c r="D13" s="94"/>
      <c r="E13" s="111" t="s">
        <v>102</v>
      </c>
      <c r="F13" s="93"/>
      <c r="G13" s="93"/>
      <c r="H13" s="94"/>
      <c r="I13" s="63">
        <v>1</v>
      </c>
      <c r="J13" s="15">
        <f t="shared" ref="J13:J20" si="0">I13*40</f>
        <v>40</v>
      </c>
      <c r="K13" s="113"/>
      <c r="L13" s="115"/>
      <c r="M13" s="86" t="s">
        <v>91</v>
      </c>
      <c r="N13" s="87"/>
      <c r="O13" s="88"/>
      <c r="P13">
        <f>+P14/60</f>
        <v>37.5</v>
      </c>
      <c r="Q13">
        <v>0.5</v>
      </c>
    </row>
    <row r="14" spans="1:17" x14ac:dyDescent="0.2">
      <c r="A14" s="115"/>
      <c r="B14" s="113"/>
      <c r="C14" s="93"/>
      <c r="D14" s="94"/>
      <c r="E14" s="111" t="s">
        <v>103</v>
      </c>
      <c r="F14" s="93"/>
      <c r="G14" s="93"/>
      <c r="H14" s="94"/>
      <c r="I14" s="63">
        <v>2</v>
      </c>
      <c r="J14" s="51">
        <f t="shared" si="0"/>
        <v>80</v>
      </c>
      <c r="K14" s="113"/>
      <c r="L14" s="115"/>
      <c r="M14" s="86" t="s">
        <v>92</v>
      </c>
      <c r="N14" s="87"/>
      <c r="O14" s="88"/>
      <c r="P14">
        <f>15*30*5</f>
        <v>2250</v>
      </c>
      <c r="Q14">
        <f>+Q13*Q12</f>
        <v>30</v>
      </c>
    </row>
    <row r="15" spans="1:17" x14ac:dyDescent="0.2">
      <c r="A15" s="115"/>
      <c r="B15" s="113"/>
      <c r="C15" s="93"/>
      <c r="D15" s="94"/>
      <c r="E15" s="111" t="s">
        <v>104</v>
      </c>
      <c r="F15" s="93"/>
      <c r="G15" s="93"/>
      <c r="H15" s="94"/>
      <c r="I15" s="64">
        <v>0.4</v>
      </c>
      <c r="J15" s="51">
        <f t="shared" si="0"/>
        <v>16</v>
      </c>
      <c r="K15" s="113"/>
      <c r="L15" s="115"/>
      <c r="M15" s="86" t="s">
        <v>93</v>
      </c>
      <c r="N15" s="87"/>
      <c r="O15" s="88"/>
      <c r="Q15">
        <v>20</v>
      </c>
    </row>
    <row r="16" spans="1:17" x14ac:dyDescent="0.2">
      <c r="A16" s="115"/>
      <c r="B16" s="113"/>
      <c r="C16" s="93"/>
      <c r="D16" s="94"/>
      <c r="E16" s="111" t="s">
        <v>105</v>
      </c>
      <c r="F16" s="93"/>
      <c r="G16" s="93"/>
      <c r="H16" s="94"/>
      <c r="I16" s="64">
        <v>1.5</v>
      </c>
      <c r="J16" s="51">
        <f t="shared" si="0"/>
        <v>60</v>
      </c>
      <c r="K16" s="113"/>
      <c r="L16" s="115"/>
      <c r="M16" s="86" t="s">
        <v>94</v>
      </c>
      <c r="N16" s="87"/>
      <c r="O16" s="88"/>
      <c r="Q16">
        <f>+Q15/Q12</f>
        <v>0.33333333333333331</v>
      </c>
    </row>
    <row r="17" spans="1:15" x14ac:dyDescent="0.2">
      <c r="A17" s="115"/>
      <c r="B17" s="113"/>
      <c r="C17" s="93"/>
      <c r="D17" s="94"/>
      <c r="E17" s="111" t="s">
        <v>106</v>
      </c>
      <c r="F17" s="93"/>
      <c r="G17" s="93"/>
      <c r="H17" s="94"/>
      <c r="I17" s="64">
        <v>0.4</v>
      </c>
      <c r="J17" s="51">
        <f t="shared" si="0"/>
        <v>16</v>
      </c>
      <c r="K17" s="113"/>
      <c r="L17" s="115"/>
      <c r="M17" s="86"/>
      <c r="N17" s="87"/>
      <c r="O17" s="88"/>
    </row>
    <row r="18" spans="1:15" ht="30" customHeight="1" x14ac:dyDescent="0.2">
      <c r="A18" s="115"/>
      <c r="B18" s="113"/>
      <c r="C18" s="93"/>
      <c r="D18" s="94"/>
      <c r="E18" s="111" t="s">
        <v>101</v>
      </c>
      <c r="F18" s="93"/>
      <c r="G18" s="93"/>
      <c r="H18" s="94"/>
      <c r="I18" s="64">
        <v>0.2</v>
      </c>
      <c r="J18" s="51">
        <f t="shared" si="0"/>
        <v>8</v>
      </c>
      <c r="K18" s="113"/>
      <c r="L18" s="115"/>
      <c r="M18" s="86" t="s">
        <v>95</v>
      </c>
      <c r="N18" s="87"/>
      <c r="O18" s="88"/>
    </row>
    <row r="19" spans="1:15" x14ac:dyDescent="0.2">
      <c r="A19" s="115"/>
      <c r="B19" s="113"/>
      <c r="C19" s="93"/>
      <c r="D19" s="94"/>
      <c r="E19" s="111" t="s">
        <v>35</v>
      </c>
      <c r="F19" s="93"/>
      <c r="G19" s="93"/>
      <c r="H19" s="94"/>
      <c r="I19" s="64">
        <v>0.4</v>
      </c>
      <c r="J19" s="51">
        <f t="shared" si="0"/>
        <v>16</v>
      </c>
      <c r="K19" s="113"/>
      <c r="L19" s="115"/>
      <c r="M19" s="86" t="s">
        <v>90</v>
      </c>
      <c r="N19" s="87"/>
      <c r="O19" s="88"/>
    </row>
    <row r="20" spans="1:15" x14ac:dyDescent="0.2">
      <c r="A20" s="115"/>
      <c r="B20" s="113"/>
      <c r="C20" s="93"/>
      <c r="D20" s="94"/>
      <c r="E20" s="111" t="s">
        <v>100</v>
      </c>
      <c r="F20" s="93"/>
      <c r="G20" s="93"/>
      <c r="H20" s="94"/>
      <c r="I20" s="64">
        <v>2</v>
      </c>
      <c r="J20" s="51">
        <f t="shared" si="0"/>
        <v>80</v>
      </c>
      <c r="K20" s="113"/>
      <c r="L20" s="115"/>
      <c r="M20" s="86" t="s">
        <v>96</v>
      </c>
      <c r="N20" s="87"/>
      <c r="O20" s="88"/>
    </row>
    <row r="21" spans="1:15" ht="30" customHeight="1" x14ac:dyDescent="0.2">
      <c r="A21" s="115"/>
      <c r="B21" s="113"/>
      <c r="C21" s="93"/>
      <c r="D21" s="94"/>
      <c r="E21" s="111" t="s">
        <v>99</v>
      </c>
      <c r="F21" s="93"/>
      <c r="G21" s="93"/>
      <c r="H21" s="94"/>
      <c r="I21" s="64"/>
      <c r="J21" s="21">
        <v>0</v>
      </c>
      <c r="K21" s="113"/>
      <c r="L21" s="115"/>
      <c r="M21" s="17"/>
      <c r="N21" s="17"/>
      <c r="O21" s="19"/>
    </row>
    <row r="22" spans="1:15" x14ac:dyDescent="0.2">
      <c r="A22" s="115"/>
      <c r="B22" s="113"/>
      <c r="C22" s="93"/>
      <c r="D22" s="94"/>
      <c r="E22" s="120" t="s">
        <v>38</v>
      </c>
      <c r="F22" s="93"/>
      <c r="G22" s="93"/>
      <c r="H22" s="94"/>
      <c r="I22" s="65">
        <v>0</v>
      </c>
      <c r="J22" s="2">
        <f t="shared" ref="J22:J23" si="1">I22*40</f>
        <v>0</v>
      </c>
      <c r="K22" s="113"/>
      <c r="L22" s="115"/>
      <c r="M22" s="86"/>
      <c r="N22" s="87"/>
      <c r="O22" s="88"/>
    </row>
    <row r="23" spans="1:15" x14ac:dyDescent="0.2">
      <c r="A23" s="115"/>
      <c r="B23" s="113"/>
      <c r="C23" s="93"/>
      <c r="D23" s="94"/>
      <c r="E23" s="120" t="s">
        <v>39</v>
      </c>
      <c r="F23" s="93"/>
      <c r="G23" s="93"/>
      <c r="H23" s="94"/>
      <c r="I23" s="65">
        <v>2</v>
      </c>
      <c r="J23" s="2">
        <f t="shared" si="1"/>
        <v>80</v>
      </c>
      <c r="K23" s="113"/>
      <c r="L23" s="115"/>
      <c r="M23" s="17"/>
      <c r="N23" s="17"/>
      <c r="O23" s="19"/>
    </row>
    <row r="24" spans="1:15" ht="15.75" customHeight="1" x14ac:dyDescent="0.2">
      <c r="A24" s="115"/>
      <c r="B24" s="113"/>
      <c r="C24" s="93"/>
      <c r="D24" s="94"/>
      <c r="E24" s="121" t="s">
        <v>40</v>
      </c>
      <c r="F24" s="93"/>
      <c r="G24" s="93"/>
      <c r="H24" s="94"/>
      <c r="I24" s="66">
        <v>2</v>
      </c>
      <c r="J24" s="2">
        <f>I24*N4</f>
        <v>80</v>
      </c>
      <c r="K24" s="113"/>
      <c r="L24" s="115"/>
      <c r="M24" s="92" t="s">
        <v>98</v>
      </c>
      <c r="N24" s="93"/>
      <c r="O24" s="94"/>
    </row>
    <row r="25" spans="1:15" ht="15.75" customHeight="1" x14ac:dyDescent="0.2">
      <c r="A25" s="115"/>
      <c r="B25" s="113"/>
      <c r="C25" s="93"/>
      <c r="D25" s="94"/>
      <c r="E25" s="143" t="s">
        <v>41</v>
      </c>
      <c r="F25" s="93"/>
      <c r="G25" s="93"/>
      <c r="H25" s="94"/>
      <c r="I25" s="66">
        <v>0</v>
      </c>
      <c r="J25" s="2">
        <f>I25*6</f>
        <v>0</v>
      </c>
      <c r="K25" s="113"/>
      <c r="L25" s="115"/>
      <c r="M25" s="92" t="s">
        <v>95</v>
      </c>
      <c r="N25" s="93"/>
      <c r="O25" s="94"/>
    </row>
    <row r="26" spans="1:15" ht="15.75" customHeight="1" x14ac:dyDescent="0.2">
      <c r="A26" s="115"/>
      <c r="B26" s="113"/>
      <c r="C26" s="93"/>
      <c r="D26" s="94"/>
      <c r="E26" s="117"/>
      <c r="F26" s="93"/>
      <c r="G26" s="93"/>
      <c r="H26" s="94"/>
      <c r="I26" s="24"/>
      <c r="J26" s="2"/>
      <c r="K26" s="113"/>
      <c r="L26" s="115"/>
      <c r="M26" s="17"/>
      <c r="N26" s="17"/>
      <c r="O26" s="19"/>
    </row>
    <row r="27" spans="1:15" ht="15.75" customHeight="1" x14ac:dyDescent="0.2">
      <c r="A27" s="115"/>
      <c r="B27" s="113"/>
      <c r="C27" s="93"/>
      <c r="D27" s="94"/>
      <c r="E27" s="117"/>
      <c r="F27" s="93"/>
      <c r="G27" s="93"/>
      <c r="H27" s="94"/>
      <c r="I27" s="24"/>
      <c r="J27" s="2"/>
      <c r="K27" s="113"/>
      <c r="L27" s="115"/>
      <c r="M27" s="92"/>
      <c r="N27" s="93"/>
      <c r="O27" s="94"/>
    </row>
    <row r="28" spans="1:15" ht="15.75" customHeight="1" x14ac:dyDescent="0.2">
      <c r="A28" s="97"/>
      <c r="B28" s="109"/>
      <c r="C28" s="102"/>
      <c r="D28" s="103"/>
      <c r="E28" s="101"/>
      <c r="F28" s="102"/>
      <c r="G28" s="102"/>
      <c r="H28" s="103"/>
      <c r="I28" s="26"/>
      <c r="J28" s="25"/>
      <c r="K28" s="109"/>
      <c r="L28" s="97"/>
      <c r="M28" s="104"/>
      <c r="N28" s="102"/>
      <c r="O28" s="103"/>
    </row>
    <row r="29" spans="1:15" ht="15.75" customHeight="1" x14ac:dyDescent="0.2">
      <c r="A29" s="118">
        <v>2</v>
      </c>
      <c r="B29" s="142" t="s">
        <v>42</v>
      </c>
      <c r="C29" s="107"/>
      <c r="D29" s="108"/>
      <c r="E29" s="138" t="s">
        <v>43</v>
      </c>
      <c r="F29" s="107"/>
      <c r="G29" s="107"/>
      <c r="H29" s="108"/>
      <c r="I29" s="27">
        <v>16</v>
      </c>
      <c r="J29" s="52">
        <f>I29*2</f>
        <v>32</v>
      </c>
      <c r="K29" s="118">
        <f>SUM(J29:J31)</f>
        <v>60</v>
      </c>
      <c r="L29" s="118">
        <f>ROUND((K29/$O$8*100),2)</f>
        <v>3.28</v>
      </c>
      <c r="M29" s="138" t="s">
        <v>44</v>
      </c>
      <c r="N29" s="107"/>
      <c r="O29" s="108"/>
    </row>
    <row r="30" spans="1:15" ht="15.75" customHeight="1" x14ac:dyDescent="0.2">
      <c r="A30" s="115"/>
      <c r="B30" s="113"/>
      <c r="C30" s="93"/>
      <c r="D30" s="94"/>
      <c r="E30" s="139" t="s">
        <v>107</v>
      </c>
      <c r="F30" s="93"/>
      <c r="G30" s="93"/>
      <c r="H30" s="94"/>
      <c r="I30" s="28">
        <v>6</v>
      </c>
      <c r="J30" s="52">
        <f>I30*2</f>
        <v>12</v>
      </c>
      <c r="K30" s="115"/>
      <c r="L30" s="115"/>
      <c r="M30" s="139" t="s">
        <v>46</v>
      </c>
      <c r="N30" s="93"/>
      <c r="O30" s="94"/>
    </row>
    <row r="31" spans="1:15" ht="30" customHeight="1" x14ac:dyDescent="0.2">
      <c r="A31" s="97"/>
      <c r="B31" s="109"/>
      <c r="C31" s="102"/>
      <c r="D31" s="103"/>
      <c r="E31" s="140" t="s">
        <v>47</v>
      </c>
      <c r="F31" s="102"/>
      <c r="G31" s="102"/>
      <c r="H31" s="103"/>
      <c r="I31" s="29">
        <v>8</v>
      </c>
      <c r="J31" s="29">
        <f>I31*2</f>
        <v>16</v>
      </c>
      <c r="K31" s="97"/>
      <c r="L31" s="97"/>
      <c r="M31" s="141"/>
      <c r="N31" s="102"/>
      <c r="O31" s="103"/>
    </row>
    <row r="32" spans="1:15" ht="30" customHeight="1" x14ac:dyDescent="0.2">
      <c r="A32" s="118">
        <v>3</v>
      </c>
      <c r="B32" s="89" t="s">
        <v>48</v>
      </c>
      <c r="C32" s="107"/>
      <c r="D32" s="108"/>
      <c r="E32" s="89" t="s">
        <v>49</v>
      </c>
      <c r="F32" s="107"/>
      <c r="G32" s="107"/>
      <c r="H32" s="108"/>
      <c r="I32" s="60">
        <v>6</v>
      </c>
      <c r="J32" s="60">
        <f>I32*6</f>
        <v>36</v>
      </c>
      <c r="K32" s="130">
        <f>SUM(J32:J37)</f>
        <v>180</v>
      </c>
      <c r="L32" s="131">
        <f>ROUND((K32/$O$8*100),2)</f>
        <v>9.83</v>
      </c>
      <c r="M32" s="148" t="s">
        <v>50</v>
      </c>
      <c r="N32" s="107"/>
      <c r="O32" s="108"/>
    </row>
    <row r="33" spans="1:15" x14ac:dyDescent="0.2">
      <c r="A33" s="122"/>
      <c r="B33" s="124"/>
      <c r="C33" s="125"/>
      <c r="D33" s="126"/>
      <c r="E33" s="149" t="s">
        <v>51</v>
      </c>
      <c r="F33" s="125"/>
      <c r="G33" s="125"/>
      <c r="H33" s="126"/>
      <c r="I33" s="76">
        <v>6</v>
      </c>
      <c r="J33" s="76">
        <f>I33*6</f>
        <v>36</v>
      </c>
      <c r="K33" s="122"/>
      <c r="L33" s="132"/>
      <c r="M33" s="150" t="s">
        <v>52</v>
      </c>
      <c r="N33" s="125"/>
      <c r="O33" s="126"/>
    </row>
    <row r="34" spans="1:15" ht="15.75" customHeight="1" x14ac:dyDescent="0.2">
      <c r="A34" s="122"/>
      <c r="B34" s="124"/>
      <c r="C34" s="125"/>
      <c r="D34" s="126"/>
      <c r="E34" s="134" t="s">
        <v>53</v>
      </c>
      <c r="F34" s="125"/>
      <c r="G34" s="125"/>
      <c r="H34" s="126"/>
      <c r="I34" s="76"/>
      <c r="J34" s="76"/>
      <c r="K34" s="122"/>
      <c r="L34" s="132"/>
      <c r="M34" s="151"/>
      <c r="N34" s="125"/>
      <c r="O34" s="126"/>
    </row>
    <row r="35" spans="1:15" ht="49.5" customHeight="1" x14ac:dyDescent="0.2">
      <c r="A35" s="122"/>
      <c r="B35" s="124"/>
      <c r="C35" s="125"/>
      <c r="D35" s="126"/>
      <c r="E35" s="152" t="s">
        <v>54</v>
      </c>
      <c r="F35" s="125"/>
      <c r="G35" s="125"/>
      <c r="H35" s="126"/>
      <c r="I35" s="75">
        <v>8</v>
      </c>
      <c r="J35" s="75">
        <f>I35*6</f>
        <v>48</v>
      </c>
      <c r="K35" s="122"/>
      <c r="L35" s="132">
        <f t="shared" ref="L35" si="2">ROUND((K35/$O$8*100),2)</f>
        <v>0</v>
      </c>
      <c r="M35" s="151"/>
      <c r="N35" s="125"/>
      <c r="O35" s="126"/>
    </row>
    <row r="36" spans="1:15" ht="15.75" customHeight="1" x14ac:dyDescent="0.2">
      <c r="A36" s="122"/>
      <c r="B36" s="124"/>
      <c r="C36" s="125"/>
      <c r="D36" s="126"/>
      <c r="E36" s="134" t="s">
        <v>55</v>
      </c>
      <c r="F36" s="125"/>
      <c r="G36" s="125"/>
      <c r="H36" s="126"/>
      <c r="I36" s="76">
        <v>10</v>
      </c>
      <c r="J36" s="76">
        <f>I36*6</f>
        <v>60</v>
      </c>
      <c r="K36" s="122"/>
      <c r="L36" s="132"/>
      <c r="M36" s="77"/>
      <c r="N36" s="70"/>
      <c r="O36" s="78"/>
    </row>
    <row r="37" spans="1:15" ht="15.75" customHeight="1" x14ac:dyDescent="0.2">
      <c r="A37" s="123"/>
      <c r="B37" s="127"/>
      <c r="C37" s="128"/>
      <c r="D37" s="129"/>
      <c r="E37" s="135" t="s">
        <v>56</v>
      </c>
      <c r="F37" s="136"/>
      <c r="G37" s="136"/>
      <c r="H37" s="129"/>
      <c r="I37" s="79"/>
      <c r="J37" s="79">
        <f>I37*6</f>
        <v>0</v>
      </c>
      <c r="K37" s="123"/>
      <c r="L37" s="133"/>
      <c r="M37" s="137"/>
      <c r="N37" s="136"/>
      <c r="O37" s="129"/>
    </row>
    <row r="38" spans="1:15" ht="15.75" customHeight="1" x14ac:dyDescent="0.2">
      <c r="A38" s="80">
        <v>4</v>
      </c>
      <c r="B38" s="144" t="s">
        <v>57</v>
      </c>
      <c r="C38" s="145"/>
      <c r="D38" s="145"/>
      <c r="E38" s="146" t="s">
        <v>58</v>
      </c>
      <c r="F38" s="145"/>
      <c r="G38" s="145"/>
      <c r="H38" s="145"/>
      <c r="I38" s="81"/>
      <c r="J38" s="82"/>
      <c r="K38" s="80"/>
      <c r="L38" s="83">
        <f>ROUND((K38/$O$8*100),2)</f>
        <v>0</v>
      </c>
      <c r="M38" s="146"/>
      <c r="N38" s="145"/>
      <c r="O38" s="147"/>
    </row>
    <row r="39" spans="1:15" ht="15.75" customHeight="1" x14ac:dyDescent="0.2">
      <c r="A39" s="118">
        <v>5</v>
      </c>
      <c r="B39" s="142" t="s">
        <v>60</v>
      </c>
      <c r="C39" s="107"/>
      <c r="D39" s="108"/>
      <c r="E39" s="156" t="s">
        <v>61</v>
      </c>
      <c r="F39" s="107"/>
      <c r="G39" s="107"/>
      <c r="H39" s="108"/>
      <c r="I39" s="32">
        <v>8</v>
      </c>
      <c r="J39" s="58">
        <f>I39*2</f>
        <v>16</v>
      </c>
      <c r="K39" s="158">
        <f>J39+J40+J41+J42</f>
        <v>24</v>
      </c>
      <c r="L39" s="159">
        <f>ROUND((K39/$O$8*100),2)</f>
        <v>1.31</v>
      </c>
      <c r="M39" s="117" t="s">
        <v>111</v>
      </c>
      <c r="N39" s="93"/>
      <c r="O39" s="94"/>
    </row>
    <row r="40" spans="1:15" ht="15.75" customHeight="1" x14ac:dyDescent="0.2">
      <c r="A40" s="115"/>
      <c r="B40" s="113"/>
      <c r="C40" s="93"/>
      <c r="D40" s="94"/>
      <c r="E40" s="117" t="s">
        <v>63</v>
      </c>
      <c r="F40" s="93"/>
      <c r="G40" s="93"/>
      <c r="H40" s="94"/>
      <c r="I40" s="32"/>
      <c r="J40" s="39">
        <f>I40*2</f>
        <v>0</v>
      </c>
      <c r="K40" s="115"/>
      <c r="L40" s="115"/>
      <c r="M40" s="117" t="s">
        <v>109</v>
      </c>
      <c r="N40" s="93"/>
      <c r="O40" s="94"/>
    </row>
    <row r="41" spans="1:15" ht="15.75" customHeight="1" x14ac:dyDescent="0.2">
      <c r="A41" s="115"/>
      <c r="B41" s="113"/>
      <c r="C41" s="93"/>
      <c r="D41" s="94"/>
      <c r="E41" s="117" t="s">
        <v>65</v>
      </c>
      <c r="F41" s="93"/>
      <c r="G41" s="93"/>
      <c r="H41" s="94"/>
      <c r="I41" s="32">
        <v>4</v>
      </c>
      <c r="J41" s="39">
        <f>I41*2</f>
        <v>8</v>
      </c>
      <c r="K41" s="115"/>
      <c r="L41" s="115"/>
      <c r="M41" s="117" t="s">
        <v>110</v>
      </c>
      <c r="N41" s="93"/>
      <c r="O41" s="94"/>
    </row>
    <row r="42" spans="1:15" ht="15.75" customHeight="1" x14ac:dyDescent="0.2">
      <c r="A42" s="97"/>
      <c r="B42" s="109"/>
      <c r="C42" s="102"/>
      <c r="D42" s="103"/>
      <c r="E42" s="153"/>
      <c r="F42" s="102"/>
      <c r="G42" s="102"/>
      <c r="H42" s="103"/>
      <c r="I42" s="40"/>
      <c r="J42" s="40"/>
      <c r="K42" s="97"/>
      <c r="L42" s="97"/>
      <c r="M42" s="141"/>
      <c r="N42" s="102"/>
      <c r="O42" s="103"/>
    </row>
    <row r="43" spans="1:15" ht="15.75" customHeight="1" x14ac:dyDescent="0.2">
      <c r="A43" s="118">
        <v>6</v>
      </c>
      <c r="B43" s="142" t="s">
        <v>67</v>
      </c>
      <c r="C43" s="107"/>
      <c r="D43" s="108"/>
      <c r="E43" s="154" t="s">
        <v>68</v>
      </c>
      <c r="F43" s="107"/>
      <c r="G43" s="107"/>
      <c r="H43" s="108"/>
      <c r="I43" s="13">
        <v>200</v>
      </c>
      <c r="J43" s="118">
        <f>I43+I44</f>
        <v>697</v>
      </c>
      <c r="K43" s="118">
        <f>J43</f>
        <v>697</v>
      </c>
      <c r="L43" s="131">
        <f>ROUND((K43/$O$8*100),2)</f>
        <v>38.049999999999997</v>
      </c>
      <c r="M43" s="156" t="s">
        <v>69</v>
      </c>
      <c r="N43" s="107"/>
      <c r="O43" s="108"/>
    </row>
    <row r="44" spans="1:15" ht="15.75" customHeight="1" x14ac:dyDescent="0.2">
      <c r="A44" s="97"/>
      <c r="B44" s="109"/>
      <c r="C44" s="102"/>
      <c r="D44" s="103"/>
      <c r="E44" s="157" t="s">
        <v>70</v>
      </c>
      <c r="F44" s="102"/>
      <c r="G44" s="102"/>
      <c r="H44" s="103"/>
      <c r="I44" s="41">
        <v>497</v>
      </c>
      <c r="J44" s="97"/>
      <c r="K44" s="97"/>
      <c r="L44" s="155"/>
      <c r="M44" s="153" t="s">
        <v>64</v>
      </c>
      <c r="N44" s="102"/>
      <c r="O44" s="103"/>
    </row>
    <row r="45" spans="1:15" ht="30" customHeight="1" x14ac:dyDescent="0.2">
      <c r="A45" s="158">
        <v>7</v>
      </c>
      <c r="B45" s="165" t="s">
        <v>71</v>
      </c>
      <c r="C45" s="93"/>
      <c r="D45" s="94"/>
      <c r="E45" s="111" t="s">
        <v>72</v>
      </c>
      <c r="F45" s="93"/>
      <c r="G45" s="93"/>
      <c r="H45" s="94"/>
      <c r="I45" s="67">
        <v>1</v>
      </c>
      <c r="J45" s="32">
        <f>I45*40</f>
        <v>40</v>
      </c>
      <c r="K45" s="158">
        <f>SUM(I45:I55)</f>
        <v>35</v>
      </c>
      <c r="L45" s="166">
        <f>ROUND((K45/$O$8*100),2)</f>
        <v>1.91</v>
      </c>
      <c r="M45" s="165" t="s">
        <v>73</v>
      </c>
      <c r="N45" s="93"/>
      <c r="O45" s="94"/>
    </row>
    <row r="46" spans="1:15" x14ac:dyDescent="0.2">
      <c r="A46" s="115"/>
      <c r="B46" s="113"/>
      <c r="C46" s="93"/>
      <c r="D46" s="94"/>
      <c r="E46" s="164" t="s">
        <v>74</v>
      </c>
      <c r="F46" s="93"/>
      <c r="G46" s="93"/>
      <c r="H46" s="94"/>
      <c r="I46" s="67">
        <v>4</v>
      </c>
      <c r="J46" s="32">
        <f t="shared" ref="J45:J55" si="3">I46</f>
        <v>4</v>
      </c>
      <c r="K46" s="115"/>
      <c r="L46" s="115"/>
      <c r="M46" s="31"/>
      <c r="N46" s="42"/>
      <c r="O46" s="43"/>
    </row>
    <row r="47" spans="1:15" x14ac:dyDescent="0.2">
      <c r="A47" s="115"/>
      <c r="B47" s="113"/>
      <c r="C47" s="93"/>
      <c r="D47" s="94"/>
      <c r="E47" s="164" t="s">
        <v>75</v>
      </c>
      <c r="F47" s="93"/>
      <c r="G47" s="93"/>
      <c r="H47" s="94"/>
      <c r="I47" s="67">
        <v>4</v>
      </c>
      <c r="J47" s="32">
        <f>I47*2</f>
        <v>8</v>
      </c>
      <c r="K47" s="115"/>
      <c r="L47" s="115"/>
      <c r="M47" s="31"/>
      <c r="N47" s="42"/>
      <c r="O47" s="43"/>
    </row>
    <row r="48" spans="1:15" x14ac:dyDescent="0.2">
      <c r="A48" s="115"/>
      <c r="B48" s="113"/>
      <c r="C48" s="93"/>
      <c r="D48" s="94"/>
      <c r="E48" s="164" t="s">
        <v>76</v>
      </c>
      <c r="F48" s="93"/>
      <c r="G48" s="93"/>
      <c r="H48" s="94"/>
      <c r="I48" s="67">
        <v>4</v>
      </c>
      <c r="J48" s="32">
        <f t="shared" si="3"/>
        <v>4</v>
      </c>
      <c r="K48" s="115"/>
      <c r="L48" s="115"/>
      <c r="M48" s="31"/>
      <c r="N48" s="42"/>
      <c r="O48" s="43"/>
    </row>
    <row r="49" spans="1:15" x14ac:dyDescent="0.2">
      <c r="A49" s="115"/>
      <c r="B49" s="113"/>
      <c r="C49" s="93"/>
      <c r="D49" s="94"/>
      <c r="E49" s="164" t="s">
        <v>77</v>
      </c>
      <c r="F49" s="93"/>
      <c r="G49" s="93"/>
      <c r="H49" s="94"/>
      <c r="I49" s="67">
        <v>4</v>
      </c>
      <c r="J49" s="32">
        <f t="shared" si="3"/>
        <v>4</v>
      </c>
      <c r="K49" s="115"/>
      <c r="L49" s="115"/>
      <c r="M49" s="31"/>
      <c r="N49" s="42"/>
      <c r="O49" s="43"/>
    </row>
    <row r="50" spans="1:15" x14ac:dyDescent="0.2">
      <c r="A50" s="115"/>
      <c r="B50" s="113"/>
      <c r="C50" s="93"/>
      <c r="D50" s="94"/>
      <c r="E50" s="164" t="s">
        <v>78</v>
      </c>
      <c r="F50" s="93"/>
      <c r="G50" s="93"/>
      <c r="H50" s="94"/>
      <c r="I50" s="67">
        <v>4</v>
      </c>
      <c r="J50" s="32">
        <f t="shared" si="3"/>
        <v>4</v>
      </c>
      <c r="K50" s="115"/>
      <c r="L50" s="115"/>
      <c r="M50" s="31"/>
      <c r="N50" s="42"/>
      <c r="O50" s="43"/>
    </row>
    <row r="51" spans="1:15" x14ac:dyDescent="0.2">
      <c r="A51" s="115"/>
      <c r="B51" s="113"/>
      <c r="C51" s="93"/>
      <c r="D51" s="94"/>
      <c r="E51" s="164" t="s">
        <v>79</v>
      </c>
      <c r="F51" s="93"/>
      <c r="G51" s="93"/>
      <c r="H51" s="94"/>
      <c r="I51" s="67">
        <v>4</v>
      </c>
      <c r="J51" s="32">
        <f t="shared" si="3"/>
        <v>4</v>
      </c>
      <c r="K51" s="115"/>
      <c r="L51" s="115"/>
      <c r="M51" s="31"/>
      <c r="N51" s="42"/>
      <c r="O51" s="43"/>
    </row>
    <row r="52" spans="1:15" x14ac:dyDescent="0.2">
      <c r="A52" s="115"/>
      <c r="B52" s="113"/>
      <c r="C52" s="93"/>
      <c r="D52" s="94"/>
      <c r="E52" s="164" t="s">
        <v>80</v>
      </c>
      <c r="F52" s="93"/>
      <c r="G52" s="93"/>
      <c r="H52" s="94"/>
      <c r="I52" s="67">
        <v>4</v>
      </c>
      <c r="J52" s="32">
        <f t="shared" si="3"/>
        <v>4</v>
      </c>
      <c r="K52" s="115"/>
      <c r="L52" s="115"/>
      <c r="M52" s="31"/>
      <c r="N52" s="42"/>
      <c r="O52" s="43"/>
    </row>
    <row r="53" spans="1:15" x14ac:dyDescent="0.2">
      <c r="A53" s="115"/>
      <c r="B53" s="113"/>
      <c r="C53" s="93"/>
      <c r="D53" s="94"/>
      <c r="E53" s="164" t="s">
        <v>81</v>
      </c>
      <c r="F53" s="93"/>
      <c r="G53" s="93"/>
      <c r="H53" s="94"/>
      <c r="I53" s="67">
        <v>4</v>
      </c>
      <c r="J53" s="32">
        <f t="shared" si="3"/>
        <v>4</v>
      </c>
      <c r="K53" s="115"/>
      <c r="L53" s="115"/>
      <c r="M53" s="31"/>
      <c r="N53" s="42"/>
      <c r="O53" s="43"/>
    </row>
    <row r="54" spans="1:15" x14ac:dyDescent="0.2">
      <c r="A54" s="115"/>
      <c r="B54" s="113"/>
      <c r="C54" s="93"/>
      <c r="D54" s="94"/>
      <c r="E54" s="164" t="s">
        <v>82</v>
      </c>
      <c r="F54" s="93"/>
      <c r="G54" s="93"/>
      <c r="H54" s="94"/>
      <c r="I54" s="67">
        <v>0</v>
      </c>
      <c r="J54" s="32">
        <f t="shared" si="3"/>
        <v>0</v>
      </c>
      <c r="K54" s="115"/>
      <c r="L54" s="115"/>
      <c r="M54" s="31"/>
      <c r="N54" s="42"/>
      <c r="O54" s="43"/>
    </row>
    <row r="55" spans="1:15" ht="15.75" customHeight="1" x14ac:dyDescent="0.2">
      <c r="A55" s="97"/>
      <c r="B55" s="109"/>
      <c r="C55" s="102"/>
      <c r="D55" s="103"/>
      <c r="E55" s="153" t="s">
        <v>83</v>
      </c>
      <c r="F55" s="102"/>
      <c r="G55" s="102"/>
      <c r="H55" s="103"/>
      <c r="I55" s="68">
        <v>2</v>
      </c>
      <c r="J55" s="32">
        <f>I55*40</f>
        <v>80</v>
      </c>
      <c r="K55" s="97"/>
      <c r="L55" s="97"/>
      <c r="M55" s="141"/>
      <c r="N55" s="102"/>
      <c r="O55" s="103"/>
    </row>
    <row r="56" spans="1:15" ht="15.75" customHeight="1" x14ac:dyDescent="0.2">
      <c r="A56" s="106" t="s">
        <v>84</v>
      </c>
      <c r="B56" s="107"/>
      <c r="C56" s="107"/>
      <c r="D56" s="108"/>
      <c r="E56" s="110"/>
      <c r="F56" s="107"/>
      <c r="G56" s="107"/>
      <c r="H56" s="107"/>
      <c r="I56" s="45"/>
      <c r="J56" s="45"/>
      <c r="K56" s="160">
        <f t="shared" ref="K56:L56" si="4">K11+K29+K32+K38+K39+K43+K45</f>
        <v>1832</v>
      </c>
      <c r="L56" s="161">
        <f t="shared" si="4"/>
        <v>100.00999999999999</v>
      </c>
      <c r="M56" s="162"/>
      <c r="N56" s="107"/>
      <c r="O56" s="108"/>
    </row>
    <row r="57" spans="1:15" ht="15.75" customHeight="1" x14ac:dyDescent="0.2">
      <c r="A57" s="109"/>
      <c r="B57" s="102"/>
      <c r="C57" s="102"/>
      <c r="D57" s="103"/>
      <c r="E57" s="163"/>
      <c r="F57" s="102"/>
      <c r="G57" s="102"/>
      <c r="H57" s="102"/>
      <c r="I57" s="46"/>
      <c r="J57" s="46"/>
      <c r="K57" s="97"/>
      <c r="L57" s="97"/>
      <c r="M57" s="141"/>
      <c r="N57" s="102"/>
      <c r="O57" s="103"/>
    </row>
    <row r="58" spans="1:15" ht="15.75" customHeight="1" x14ac:dyDescent="0.2">
      <c r="A58" s="47"/>
      <c r="B58" s="59"/>
      <c r="C58" s="59"/>
      <c r="D58" s="59"/>
      <c r="E58" s="59"/>
      <c r="F58" s="59"/>
      <c r="G58" s="59"/>
      <c r="H58" s="59"/>
      <c r="I58" s="2"/>
      <c r="J58" s="2"/>
      <c r="K58" s="3"/>
      <c r="L58" s="3"/>
      <c r="M58" s="59"/>
      <c r="N58" s="59"/>
      <c r="O58" s="59"/>
    </row>
    <row r="59" spans="1:15" ht="15.75" customHeight="1" x14ac:dyDescent="0.2">
      <c r="A59" s="47"/>
      <c r="B59" s="59"/>
      <c r="C59" s="59"/>
      <c r="D59" s="59"/>
      <c r="E59" s="59"/>
      <c r="F59" s="59"/>
      <c r="G59" s="59"/>
      <c r="H59" s="59"/>
      <c r="I59" s="2"/>
      <c r="J59" s="2"/>
      <c r="K59" s="3"/>
      <c r="L59" s="3"/>
      <c r="M59" s="59"/>
      <c r="N59" s="59"/>
      <c r="O59" s="59"/>
    </row>
    <row r="60" spans="1:15" ht="15.75" customHeight="1" x14ac:dyDescent="0.2">
      <c r="A60" s="47"/>
      <c r="B60" s="59"/>
      <c r="C60" s="59"/>
      <c r="D60" s="59"/>
      <c r="E60" s="59"/>
      <c r="F60" s="59"/>
      <c r="G60" s="59"/>
      <c r="H60" s="59"/>
      <c r="I60" s="2"/>
      <c r="J60" s="2"/>
      <c r="K60" s="69"/>
      <c r="L60" s="3"/>
      <c r="M60" s="59"/>
      <c r="N60" s="59"/>
      <c r="O60" s="59"/>
    </row>
    <row r="61" spans="1:15" ht="15.75" customHeight="1" x14ac:dyDescent="0.2">
      <c r="A61" s="47"/>
      <c r="B61" s="59"/>
      <c r="C61" s="59"/>
      <c r="D61" s="59"/>
      <c r="E61" s="59"/>
      <c r="F61" s="59"/>
      <c r="G61" s="59"/>
      <c r="H61" s="59"/>
      <c r="I61" s="2"/>
      <c r="J61" s="2"/>
      <c r="K61" s="3"/>
      <c r="L61" s="3"/>
      <c r="M61" s="59"/>
      <c r="N61" s="59"/>
      <c r="O61" s="59"/>
    </row>
    <row r="62" spans="1:15" ht="15.75" customHeight="1" x14ac:dyDescent="0.2">
      <c r="A62" s="47"/>
      <c r="B62" s="59"/>
      <c r="C62" s="59"/>
      <c r="D62" s="59"/>
      <c r="E62" s="59"/>
      <c r="F62" s="59"/>
      <c r="G62" s="59"/>
      <c r="H62" s="59"/>
      <c r="I62" s="2"/>
      <c r="J62" s="2"/>
      <c r="K62" s="3"/>
      <c r="L62" s="3"/>
      <c r="M62" s="59"/>
      <c r="N62" s="59"/>
      <c r="O62" s="59"/>
    </row>
    <row r="63" spans="1:15" ht="15.75" customHeight="1" x14ac:dyDescent="0.2">
      <c r="A63" s="47"/>
      <c r="B63" s="59"/>
      <c r="C63" s="59"/>
      <c r="D63" s="59"/>
      <c r="E63" s="59"/>
      <c r="F63" s="59"/>
      <c r="G63" s="59"/>
      <c r="H63" s="59"/>
      <c r="I63" s="2"/>
      <c r="J63" s="2"/>
      <c r="K63" s="3"/>
      <c r="L63" s="3"/>
      <c r="M63" s="59"/>
      <c r="N63" s="59"/>
      <c r="O63" s="59"/>
    </row>
    <row r="64" spans="1:15" ht="15.75" customHeight="1" x14ac:dyDescent="0.2">
      <c r="A64" s="47"/>
      <c r="B64" s="59"/>
      <c r="C64" s="59"/>
      <c r="D64" s="59"/>
      <c r="E64" s="59"/>
      <c r="F64" s="59"/>
      <c r="G64" s="59"/>
      <c r="H64" s="59"/>
      <c r="I64" s="2"/>
      <c r="J64" s="2"/>
      <c r="K64" s="3"/>
      <c r="L64" s="3"/>
      <c r="M64" s="59"/>
      <c r="N64" s="59"/>
      <c r="O64" s="59"/>
    </row>
    <row r="65" spans="1:15" ht="15.75" customHeight="1" x14ac:dyDescent="0.2">
      <c r="A65" s="47"/>
      <c r="B65" s="59"/>
      <c r="C65" s="59"/>
      <c r="D65" s="59"/>
      <c r="E65" s="59"/>
      <c r="F65" s="59"/>
      <c r="G65" s="59"/>
      <c r="H65" s="59"/>
      <c r="I65" s="2"/>
      <c r="J65" s="2"/>
      <c r="K65" s="3"/>
      <c r="L65" s="3"/>
      <c r="M65" s="59"/>
      <c r="N65" s="59"/>
      <c r="O65" s="59"/>
    </row>
    <row r="66" spans="1:15" ht="15.75" customHeight="1" x14ac:dyDescent="0.2">
      <c r="A66" s="47"/>
      <c r="B66" s="59"/>
      <c r="C66" s="59"/>
      <c r="D66" s="59"/>
      <c r="E66" s="59"/>
      <c r="F66" s="59"/>
      <c r="G66" s="59"/>
      <c r="H66" s="59"/>
      <c r="I66" s="2"/>
      <c r="J66" s="2"/>
      <c r="K66" s="3"/>
      <c r="L66" s="3"/>
      <c r="M66" s="59"/>
      <c r="N66" s="59"/>
      <c r="O66" s="59"/>
    </row>
    <row r="67" spans="1:15" ht="15.75" customHeight="1" x14ac:dyDescent="0.2">
      <c r="A67" s="47"/>
      <c r="B67" s="59"/>
      <c r="C67" s="59"/>
      <c r="D67" s="59"/>
      <c r="E67" s="59"/>
      <c r="F67" s="59"/>
      <c r="G67" s="59"/>
      <c r="H67" s="59"/>
      <c r="I67" s="2"/>
      <c r="J67" s="2"/>
      <c r="K67" s="3"/>
      <c r="L67" s="3"/>
      <c r="M67" s="59"/>
      <c r="N67" s="59"/>
      <c r="O67" s="59"/>
    </row>
    <row r="68" spans="1:15" ht="15.75" customHeight="1" x14ac:dyDescent="0.2">
      <c r="A68" s="47"/>
      <c r="B68" s="59"/>
      <c r="C68" s="59"/>
      <c r="D68" s="59"/>
      <c r="E68" s="59"/>
      <c r="F68" s="59"/>
      <c r="G68" s="59"/>
      <c r="H68" s="59"/>
      <c r="I68" s="2"/>
      <c r="J68" s="2"/>
      <c r="K68" s="3"/>
      <c r="L68" s="3"/>
      <c r="M68" s="59"/>
      <c r="N68" s="59"/>
      <c r="O68" s="59"/>
    </row>
    <row r="69" spans="1:15" ht="15.75" customHeight="1" x14ac:dyDescent="0.2">
      <c r="A69" s="47"/>
      <c r="B69" s="59"/>
      <c r="C69" s="59"/>
      <c r="D69" s="59"/>
      <c r="E69" s="59"/>
      <c r="F69" s="59"/>
      <c r="G69" s="59"/>
      <c r="H69" s="59"/>
      <c r="I69" s="2"/>
      <c r="J69" s="2"/>
      <c r="K69" s="3"/>
      <c r="L69" s="3"/>
      <c r="M69" s="59"/>
      <c r="N69" s="59"/>
      <c r="O69" s="59"/>
    </row>
    <row r="70" spans="1:15" ht="15.75" customHeight="1" x14ac:dyDescent="0.2">
      <c r="A70" s="47"/>
      <c r="B70" s="59"/>
      <c r="C70" s="59"/>
      <c r="D70" s="59"/>
      <c r="E70" s="59"/>
      <c r="F70" s="59"/>
      <c r="G70" s="59"/>
      <c r="H70" s="59"/>
      <c r="I70" s="2"/>
      <c r="J70" s="2"/>
      <c r="K70" s="3"/>
      <c r="L70" s="3"/>
      <c r="M70" s="59"/>
      <c r="N70" s="59"/>
      <c r="O70" s="59"/>
    </row>
    <row r="71" spans="1:15" ht="15.75" customHeight="1" x14ac:dyDescent="0.2">
      <c r="A71" s="47"/>
      <c r="B71" s="59"/>
      <c r="C71" s="59"/>
      <c r="D71" s="59"/>
      <c r="E71" s="59"/>
      <c r="F71" s="59"/>
      <c r="G71" s="59"/>
      <c r="H71" s="59"/>
      <c r="I71" s="2"/>
      <c r="J71" s="2"/>
      <c r="K71" s="3"/>
      <c r="L71" s="3"/>
      <c r="M71" s="59"/>
      <c r="N71" s="59"/>
      <c r="O71" s="59"/>
    </row>
    <row r="72" spans="1:15" ht="15.75" customHeight="1" x14ac:dyDescent="0.2">
      <c r="A72" s="47"/>
      <c r="B72" s="59"/>
      <c r="C72" s="59"/>
      <c r="D72" s="59"/>
      <c r="E72" s="59"/>
      <c r="F72" s="59"/>
      <c r="G72" s="59"/>
      <c r="H72" s="59"/>
      <c r="I72" s="2"/>
      <c r="J72" s="2"/>
      <c r="K72" s="3"/>
      <c r="L72" s="3"/>
      <c r="M72" s="59"/>
      <c r="N72" s="59"/>
      <c r="O72" s="59"/>
    </row>
    <row r="73" spans="1:15" ht="15.75" customHeight="1" x14ac:dyDescent="0.2">
      <c r="A73" s="47"/>
      <c r="B73" s="59"/>
      <c r="C73" s="59"/>
      <c r="D73" s="59"/>
      <c r="E73" s="59"/>
      <c r="F73" s="59"/>
      <c r="G73" s="59"/>
      <c r="H73" s="59"/>
      <c r="I73" s="2"/>
      <c r="J73" s="2"/>
      <c r="K73" s="3"/>
      <c r="L73" s="3"/>
      <c r="M73" s="59"/>
      <c r="N73" s="59"/>
      <c r="O73" s="59"/>
    </row>
    <row r="74" spans="1:15" ht="15.75" customHeight="1" x14ac:dyDescent="0.2">
      <c r="A74" s="47"/>
      <c r="B74" s="59"/>
      <c r="C74" s="59"/>
      <c r="D74" s="59"/>
      <c r="E74" s="59"/>
      <c r="F74" s="59"/>
      <c r="G74" s="59"/>
      <c r="H74" s="59"/>
      <c r="I74" s="2"/>
      <c r="J74" s="2"/>
      <c r="K74" s="3"/>
      <c r="L74" s="3"/>
      <c r="M74" s="59"/>
      <c r="N74" s="59"/>
      <c r="O74" s="59"/>
    </row>
    <row r="75" spans="1:15" ht="15.75" customHeight="1" x14ac:dyDescent="0.2">
      <c r="A75" s="47"/>
      <c r="B75" s="59"/>
      <c r="C75" s="59"/>
      <c r="D75" s="59"/>
      <c r="E75" s="59"/>
      <c r="F75" s="59"/>
      <c r="G75" s="59"/>
      <c r="H75" s="59"/>
      <c r="I75" s="2"/>
      <c r="J75" s="2"/>
      <c r="K75" s="3"/>
      <c r="L75" s="3"/>
      <c r="M75" s="59"/>
      <c r="N75" s="59"/>
      <c r="O75" s="59"/>
    </row>
    <row r="76" spans="1:15" ht="15.75" customHeight="1" x14ac:dyDescent="0.2">
      <c r="A76" s="47"/>
      <c r="B76" s="59"/>
      <c r="C76" s="59"/>
      <c r="D76" s="59"/>
      <c r="E76" s="59"/>
      <c r="F76" s="59"/>
      <c r="G76" s="59"/>
      <c r="H76" s="59"/>
      <c r="I76" s="2"/>
      <c r="J76" s="2"/>
      <c r="K76" s="3"/>
      <c r="L76" s="3"/>
      <c r="M76" s="59"/>
      <c r="N76" s="59"/>
      <c r="O76" s="59"/>
    </row>
    <row r="77" spans="1:15" ht="15.75" customHeight="1" x14ac:dyDescent="0.2">
      <c r="A77" s="47"/>
      <c r="B77" s="59"/>
      <c r="C77" s="59"/>
      <c r="D77" s="59"/>
      <c r="E77" s="59"/>
      <c r="F77" s="59"/>
      <c r="G77" s="59"/>
      <c r="H77" s="59"/>
      <c r="I77" s="2"/>
      <c r="J77" s="2"/>
      <c r="K77" s="3"/>
      <c r="L77" s="3"/>
      <c r="M77" s="59"/>
      <c r="N77" s="59"/>
      <c r="O77" s="59"/>
    </row>
    <row r="78" spans="1:15" ht="15.75" customHeight="1" x14ac:dyDescent="0.2">
      <c r="A78" s="47"/>
      <c r="B78" s="59"/>
      <c r="C78" s="59"/>
      <c r="D78" s="59"/>
      <c r="E78" s="59"/>
      <c r="F78" s="59"/>
      <c r="G78" s="59"/>
      <c r="H78" s="59"/>
      <c r="I78" s="2"/>
      <c r="J78" s="2"/>
      <c r="K78" s="3"/>
      <c r="L78" s="3"/>
      <c r="M78" s="59"/>
      <c r="N78" s="59"/>
      <c r="O78" s="59"/>
    </row>
    <row r="79" spans="1:15" ht="15.75" customHeight="1" x14ac:dyDescent="0.2">
      <c r="A79" s="47"/>
      <c r="B79" s="59"/>
      <c r="C79" s="59"/>
      <c r="D79" s="59"/>
      <c r="E79" s="59"/>
      <c r="F79" s="59"/>
      <c r="G79" s="59"/>
      <c r="H79" s="59"/>
      <c r="I79" s="2"/>
      <c r="J79" s="2"/>
      <c r="K79" s="3"/>
      <c r="L79" s="3"/>
      <c r="M79" s="59"/>
      <c r="N79" s="59"/>
      <c r="O79" s="59"/>
    </row>
    <row r="80" spans="1:15" ht="15.75" customHeight="1" x14ac:dyDescent="0.2">
      <c r="A80" s="47"/>
      <c r="B80" s="59"/>
      <c r="C80" s="59"/>
      <c r="D80" s="59"/>
      <c r="E80" s="59"/>
      <c r="F80" s="59"/>
      <c r="G80" s="59"/>
      <c r="H80" s="59"/>
      <c r="I80" s="2"/>
      <c r="J80" s="2"/>
      <c r="K80" s="3"/>
      <c r="L80" s="3"/>
      <c r="M80" s="59"/>
      <c r="N80" s="59"/>
      <c r="O80" s="59"/>
    </row>
    <row r="81" spans="1:15" ht="15.75" customHeight="1" x14ac:dyDescent="0.2">
      <c r="A81" s="47"/>
      <c r="B81" s="59"/>
      <c r="C81" s="59"/>
      <c r="D81" s="59"/>
      <c r="E81" s="59"/>
      <c r="F81" s="59"/>
      <c r="G81" s="59"/>
      <c r="H81" s="59"/>
      <c r="I81" s="2"/>
      <c r="J81" s="2"/>
      <c r="K81" s="3"/>
      <c r="L81" s="3"/>
      <c r="M81" s="59"/>
      <c r="N81" s="59"/>
      <c r="O81" s="59"/>
    </row>
    <row r="82" spans="1:15" ht="15.75" customHeight="1" x14ac:dyDescent="0.2">
      <c r="A82" s="47"/>
      <c r="B82" s="59"/>
      <c r="C82" s="59"/>
      <c r="D82" s="59"/>
      <c r="E82" s="59"/>
      <c r="F82" s="59"/>
      <c r="G82" s="59"/>
      <c r="H82" s="59"/>
      <c r="I82" s="2"/>
      <c r="J82" s="2"/>
      <c r="K82" s="3"/>
      <c r="L82" s="3"/>
      <c r="M82" s="59"/>
      <c r="N82" s="59"/>
      <c r="O82" s="59"/>
    </row>
    <row r="83" spans="1:15" ht="15.75" customHeight="1" x14ac:dyDescent="0.2">
      <c r="A83" s="48"/>
      <c r="B83" s="73"/>
      <c r="C83" s="73"/>
      <c r="D83" s="73"/>
      <c r="E83" s="73"/>
      <c r="F83" s="73"/>
      <c r="G83" s="73"/>
      <c r="H83" s="73"/>
      <c r="I83" s="70"/>
      <c r="J83" s="70"/>
      <c r="K83" s="71"/>
      <c r="L83" s="71"/>
      <c r="M83" s="73"/>
      <c r="N83" s="73"/>
      <c r="O83" s="74"/>
    </row>
    <row r="84" spans="1:15" ht="15.75" customHeight="1" x14ac:dyDescent="0.2">
      <c r="A84" s="48"/>
      <c r="B84" s="73"/>
      <c r="C84" s="73"/>
      <c r="D84" s="73"/>
      <c r="E84" s="73"/>
      <c r="F84" s="73"/>
      <c r="G84" s="73"/>
      <c r="H84" s="73"/>
      <c r="I84" s="70"/>
      <c r="J84" s="70"/>
      <c r="K84" s="71"/>
      <c r="L84" s="71"/>
      <c r="M84" s="73"/>
      <c r="N84" s="73"/>
      <c r="O84" s="74"/>
    </row>
    <row r="85" spans="1:15" ht="15.75" customHeight="1" x14ac:dyDescent="0.2">
      <c r="A85" s="48"/>
      <c r="B85" s="73"/>
      <c r="C85" s="73"/>
      <c r="D85" s="73"/>
      <c r="E85" s="73"/>
      <c r="F85" s="73"/>
      <c r="G85" s="73"/>
      <c r="H85" s="73"/>
      <c r="I85" s="70"/>
      <c r="J85" s="70"/>
      <c r="K85" s="71"/>
      <c r="L85" s="71"/>
      <c r="M85" s="73"/>
      <c r="N85" s="73"/>
      <c r="O85" s="74"/>
    </row>
    <row r="86" spans="1:15" ht="15.75" customHeight="1" x14ac:dyDescent="0.2">
      <c r="A86" s="48"/>
      <c r="B86" s="73"/>
      <c r="C86" s="73"/>
      <c r="D86" s="73"/>
      <c r="E86" s="73"/>
      <c r="F86" s="73"/>
      <c r="G86" s="73"/>
      <c r="H86" s="73"/>
      <c r="I86" s="70"/>
      <c r="J86" s="70"/>
      <c r="K86" s="71"/>
      <c r="L86" s="71"/>
      <c r="M86" s="73"/>
      <c r="N86" s="73"/>
      <c r="O86" s="74"/>
    </row>
    <row r="87" spans="1:15" ht="15.75" customHeight="1" x14ac:dyDescent="0.2">
      <c r="A87" s="48"/>
      <c r="B87" s="73"/>
      <c r="C87" s="73"/>
      <c r="D87" s="73"/>
      <c r="E87" s="73"/>
      <c r="F87" s="73"/>
      <c r="G87" s="73"/>
      <c r="H87" s="73"/>
      <c r="I87" s="70"/>
      <c r="J87" s="70"/>
      <c r="K87" s="71"/>
      <c r="L87" s="71"/>
      <c r="M87" s="73"/>
      <c r="N87" s="73"/>
      <c r="O87" s="74"/>
    </row>
    <row r="88" spans="1:15" ht="15.75" customHeight="1" x14ac:dyDescent="0.2">
      <c r="A88" s="48"/>
      <c r="B88" s="73"/>
      <c r="C88" s="73"/>
      <c r="D88" s="73"/>
      <c r="E88" s="73"/>
      <c r="F88" s="73"/>
      <c r="G88" s="73"/>
      <c r="H88" s="73"/>
      <c r="I88" s="70"/>
      <c r="J88" s="70"/>
      <c r="K88" s="71"/>
      <c r="L88" s="71"/>
      <c r="M88" s="73"/>
      <c r="N88" s="73"/>
      <c r="O88" s="74"/>
    </row>
    <row r="89" spans="1:15" ht="15.75" customHeight="1" x14ac:dyDescent="0.2">
      <c r="A89" s="48"/>
      <c r="B89" s="73"/>
      <c r="C89" s="73"/>
      <c r="D89" s="73"/>
      <c r="E89" s="73"/>
      <c r="F89" s="73"/>
      <c r="G89" s="73"/>
      <c r="H89" s="73"/>
      <c r="I89" s="70"/>
      <c r="J89" s="70"/>
      <c r="K89" s="71"/>
      <c r="L89" s="71"/>
      <c r="M89" s="73"/>
      <c r="N89" s="73"/>
      <c r="O89" s="74"/>
    </row>
    <row r="90" spans="1:15" ht="15.75" customHeight="1" x14ac:dyDescent="0.2">
      <c r="A90" s="48"/>
      <c r="B90" s="73"/>
      <c r="C90" s="73"/>
      <c r="D90" s="73"/>
      <c r="E90" s="73"/>
      <c r="F90" s="73"/>
      <c r="G90" s="73"/>
      <c r="H90" s="73"/>
      <c r="I90" s="70"/>
      <c r="J90" s="70"/>
      <c r="K90" s="71"/>
      <c r="L90" s="71"/>
      <c r="M90" s="73"/>
      <c r="N90" s="73"/>
      <c r="O90" s="74"/>
    </row>
    <row r="91" spans="1:15" ht="15.75" customHeight="1" x14ac:dyDescent="0.2">
      <c r="A91" s="48"/>
      <c r="B91" s="73"/>
      <c r="C91" s="73"/>
      <c r="D91" s="73"/>
      <c r="E91" s="73"/>
      <c r="F91" s="73"/>
      <c r="G91" s="73"/>
      <c r="H91" s="73"/>
      <c r="I91" s="70"/>
      <c r="J91" s="70"/>
      <c r="K91" s="71"/>
      <c r="L91" s="71"/>
      <c r="M91" s="73"/>
      <c r="N91" s="73"/>
      <c r="O91" s="74"/>
    </row>
    <row r="92" spans="1:15" ht="15.75" customHeight="1" x14ac:dyDescent="0.2">
      <c r="A92" s="48"/>
      <c r="B92" s="73"/>
      <c r="C92" s="73"/>
      <c r="D92" s="73"/>
      <c r="E92" s="73"/>
      <c r="F92" s="73"/>
      <c r="G92" s="73"/>
      <c r="H92" s="73"/>
      <c r="I92" s="70"/>
      <c r="J92" s="70"/>
      <c r="K92" s="71"/>
      <c r="L92" s="71"/>
      <c r="M92" s="73"/>
      <c r="N92" s="73"/>
      <c r="O92" s="74"/>
    </row>
    <row r="93" spans="1:15" ht="15.75" customHeight="1" x14ac:dyDescent="0.2">
      <c r="A93" s="48"/>
      <c r="B93" s="73"/>
      <c r="C93" s="73"/>
      <c r="D93" s="73"/>
      <c r="E93" s="73"/>
      <c r="F93" s="73"/>
      <c r="G93" s="73"/>
      <c r="H93" s="73"/>
      <c r="I93" s="70"/>
      <c r="J93" s="70"/>
      <c r="K93" s="71"/>
      <c r="L93" s="71"/>
      <c r="M93" s="73"/>
      <c r="N93" s="73"/>
      <c r="O93" s="74"/>
    </row>
    <row r="94" spans="1:15" ht="15.75" customHeight="1" x14ac:dyDescent="0.2">
      <c r="A94" s="48"/>
      <c r="B94" s="73"/>
      <c r="C94" s="73"/>
      <c r="D94" s="73"/>
      <c r="E94" s="73"/>
      <c r="F94" s="73"/>
      <c r="G94" s="73"/>
      <c r="H94" s="73"/>
      <c r="I94" s="70"/>
      <c r="J94" s="70"/>
      <c r="K94" s="71"/>
      <c r="L94" s="71"/>
      <c r="M94" s="73"/>
      <c r="N94" s="73"/>
      <c r="O94" s="74"/>
    </row>
    <row r="95" spans="1:15" ht="15.75" customHeight="1" x14ac:dyDescent="0.2">
      <c r="A95" s="48"/>
      <c r="B95" s="73"/>
      <c r="C95" s="73"/>
      <c r="D95" s="73"/>
      <c r="E95" s="73"/>
      <c r="F95" s="73"/>
      <c r="G95" s="73"/>
      <c r="H95" s="73"/>
      <c r="I95" s="70"/>
      <c r="J95" s="70"/>
      <c r="K95" s="71"/>
      <c r="L95" s="71"/>
      <c r="M95" s="73"/>
      <c r="N95" s="73"/>
      <c r="O95" s="74"/>
    </row>
    <row r="96" spans="1:15" ht="15.75" customHeight="1" x14ac:dyDescent="0.2">
      <c r="A96" s="48"/>
      <c r="B96" s="73"/>
      <c r="C96" s="73"/>
      <c r="D96" s="73"/>
      <c r="E96" s="73"/>
      <c r="F96" s="73"/>
      <c r="G96" s="73"/>
      <c r="H96" s="73"/>
      <c r="I96" s="70"/>
      <c r="J96" s="70"/>
      <c r="K96" s="71"/>
      <c r="L96" s="71"/>
      <c r="M96" s="73"/>
      <c r="N96" s="73"/>
      <c r="O96" s="74"/>
    </row>
    <row r="97" spans="1:15" ht="15.75" customHeight="1" x14ac:dyDescent="0.2">
      <c r="A97" s="48"/>
      <c r="B97" s="73"/>
      <c r="C97" s="73"/>
      <c r="D97" s="73"/>
      <c r="E97" s="73"/>
      <c r="F97" s="73"/>
      <c r="G97" s="73"/>
      <c r="H97" s="73"/>
      <c r="I97" s="70"/>
      <c r="J97" s="70"/>
      <c r="K97" s="71"/>
      <c r="L97" s="71"/>
      <c r="M97" s="73"/>
      <c r="N97" s="73"/>
      <c r="O97" s="74"/>
    </row>
    <row r="98" spans="1:15" ht="15.75" customHeight="1" x14ac:dyDescent="0.2">
      <c r="A98" s="48"/>
      <c r="B98" s="73"/>
      <c r="C98" s="73"/>
      <c r="D98" s="73"/>
      <c r="E98" s="73"/>
      <c r="F98" s="73"/>
      <c r="G98" s="73"/>
      <c r="H98" s="73"/>
      <c r="I98" s="70"/>
      <c r="J98" s="70"/>
      <c r="K98" s="71"/>
      <c r="L98" s="71"/>
      <c r="M98" s="73"/>
      <c r="N98" s="73"/>
      <c r="O98" s="74"/>
    </row>
    <row r="99" spans="1:15" ht="15.75" customHeight="1" x14ac:dyDescent="0.2">
      <c r="A99" s="48"/>
      <c r="B99" s="73"/>
      <c r="C99" s="73"/>
      <c r="D99" s="73"/>
      <c r="E99" s="73"/>
      <c r="F99" s="73"/>
      <c r="G99" s="73"/>
      <c r="H99" s="73"/>
      <c r="I99" s="70"/>
      <c r="J99" s="70"/>
      <c r="K99" s="71"/>
      <c r="L99" s="71"/>
      <c r="M99" s="73"/>
      <c r="N99" s="73"/>
      <c r="O99" s="74"/>
    </row>
    <row r="100" spans="1:15" ht="15.75" customHeight="1" x14ac:dyDescent="0.2">
      <c r="A100" s="48"/>
      <c r="B100" s="73"/>
      <c r="C100" s="73"/>
      <c r="D100" s="73"/>
      <c r="E100" s="73"/>
      <c r="F100" s="73"/>
      <c r="G100" s="73"/>
      <c r="H100" s="73"/>
      <c r="I100" s="70"/>
      <c r="J100" s="70"/>
      <c r="K100" s="71"/>
      <c r="L100" s="71"/>
      <c r="M100" s="73"/>
      <c r="N100" s="73"/>
      <c r="O100" s="74"/>
    </row>
    <row r="101" spans="1:15" ht="15.75" customHeight="1" x14ac:dyDescent="0.2">
      <c r="A101" s="48"/>
      <c r="B101" s="73"/>
      <c r="C101" s="73"/>
      <c r="D101" s="73"/>
      <c r="E101" s="73"/>
      <c r="F101" s="73"/>
      <c r="G101" s="73"/>
      <c r="H101" s="73"/>
      <c r="I101" s="70"/>
      <c r="J101" s="70"/>
      <c r="K101" s="71"/>
      <c r="L101" s="71"/>
      <c r="M101" s="73"/>
      <c r="N101" s="73"/>
      <c r="O101" s="74"/>
    </row>
    <row r="102" spans="1:15" ht="15.75" customHeight="1" x14ac:dyDescent="0.2">
      <c r="A102" s="48"/>
      <c r="B102" s="73"/>
      <c r="C102" s="73"/>
      <c r="D102" s="73"/>
      <c r="E102" s="73"/>
      <c r="F102" s="73"/>
      <c r="G102" s="73"/>
      <c r="H102" s="73"/>
      <c r="I102" s="70"/>
      <c r="J102" s="70"/>
      <c r="K102" s="71"/>
      <c r="L102" s="71"/>
      <c r="M102" s="73"/>
      <c r="N102" s="73"/>
      <c r="O102" s="74"/>
    </row>
    <row r="103" spans="1:15" ht="15.75" customHeight="1" x14ac:dyDescent="0.2">
      <c r="A103" s="48"/>
      <c r="B103" s="73"/>
      <c r="C103" s="73"/>
      <c r="D103" s="73"/>
      <c r="E103" s="73"/>
      <c r="F103" s="73"/>
      <c r="G103" s="73"/>
      <c r="H103" s="73"/>
      <c r="I103" s="70"/>
      <c r="J103" s="70"/>
      <c r="K103" s="71"/>
      <c r="L103" s="71"/>
      <c r="M103" s="73"/>
      <c r="N103" s="73"/>
      <c r="O103" s="74"/>
    </row>
    <row r="104" spans="1:15" ht="15.75" customHeight="1" x14ac:dyDescent="0.2">
      <c r="A104" s="48"/>
      <c r="B104" s="73"/>
      <c r="C104" s="73"/>
      <c r="D104" s="73"/>
      <c r="E104" s="73"/>
      <c r="F104" s="73"/>
      <c r="G104" s="73"/>
      <c r="H104" s="73"/>
      <c r="I104" s="70"/>
      <c r="J104" s="70"/>
      <c r="K104" s="71"/>
      <c r="L104" s="71"/>
      <c r="M104" s="73"/>
      <c r="N104" s="73"/>
      <c r="O104" s="74"/>
    </row>
    <row r="105" spans="1:15" ht="15.75" customHeight="1" x14ac:dyDescent="0.2">
      <c r="A105" s="48"/>
      <c r="B105" s="73"/>
      <c r="C105" s="73"/>
      <c r="D105" s="73"/>
      <c r="E105" s="73"/>
      <c r="F105" s="73"/>
      <c r="G105" s="73"/>
      <c r="H105" s="73"/>
      <c r="I105" s="70"/>
      <c r="J105" s="70"/>
      <c r="K105" s="71"/>
      <c r="L105" s="71"/>
      <c r="M105" s="73"/>
      <c r="N105" s="73"/>
      <c r="O105" s="74"/>
    </row>
    <row r="106" spans="1:15" ht="15.75" customHeight="1" x14ac:dyDescent="0.2">
      <c r="A106" s="48"/>
      <c r="B106" s="73"/>
      <c r="C106" s="73"/>
      <c r="D106" s="73"/>
      <c r="E106" s="73"/>
      <c r="F106" s="73"/>
      <c r="G106" s="73"/>
      <c r="H106" s="73"/>
      <c r="I106" s="70"/>
      <c r="J106" s="70"/>
      <c r="K106" s="71"/>
      <c r="L106" s="71"/>
      <c r="M106" s="73"/>
      <c r="N106" s="73"/>
      <c r="O106" s="74"/>
    </row>
    <row r="107" spans="1:15" ht="15.75" customHeight="1" x14ac:dyDescent="0.2">
      <c r="A107" s="48"/>
      <c r="B107" s="73"/>
      <c r="C107" s="73"/>
      <c r="D107" s="73"/>
      <c r="E107" s="73"/>
      <c r="F107" s="73"/>
      <c r="G107" s="73"/>
      <c r="H107" s="73"/>
      <c r="I107" s="70"/>
      <c r="J107" s="70"/>
      <c r="K107" s="71"/>
      <c r="L107" s="71"/>
      <c r="M107" s="73"/>
      <c r="N107" s="73"/>
      <c r="O107" s="74"/>
    </row>
    <row r="108" spans="1:15" ht="15.75" customHeight="1" x14ac:dyDescent="0.2">
      <c r="A108" s="48"/>
      <c r="B108" s="73"/>
      <c r="C108" s="73"/>
      <c r="D108" s="73"/>
      <c r="E108" s="73"/>
      <c r="F108" s="73"/>
      <c r="G108" s="73"/>
      <c r="H108" s="73"/>
      <c r="I108" s="70"/>
      <c r="J108" s="70"/>
      <c r="K108" s="71"/>
      <c r="L108" s="71"/>
      <c r="M108" s="73"/>
      <c r="N108" s="73"/>
      <c r="O108" s="74"/>
    </row>
    <row r="109" spans="1:15" ht="15.75" customHeight="1" x14ac:dyDescent="0.2">
      <c r="A109" s="48"/>
      <c r="B109" s="73"/>
      <c r="C109" s="73"/>
      <c r="D109" s="73"/>
      <c r="E109" s="73"/>
      <c r="F109" s="73"/>
      <c r="G109" s="73"/>
      <c r="H109" s="73"/>
      <c r="I109" s="70"/>
      <c r="J109" s="70"/>
      <c r="K109" s="71"/>
      <c r="L109" s="71"/>
      <c r="M109" s="73"/>
      <c r="N109" s="73"/>
      <c r="O109" s="74"/>
    </row>
    <row r="110" spans="1:15" ht="15.75" customHeight="1" x14ac:dyDescent="0.2">
      <c r="A110" s="48"/>
      <c r="B110" s="73"/>
      <c r="C110" s="73"/>
      <c r="D110" s="73"/>
      <c r="E110" s="73"/>
      <c r="F110" s="73"/>
      <c r="G110" s="73"/>
      <c r="H110" s="73"/>
      <c r="I110" s="70"/>
      <c r="J110" s="70"/>
      <c r="K110" s="71"/>
      <c r="L110" s="71"/>
      <c r="M110" s="73"/>
      <c r="N110" s="73"/>
      <c r="O110" s="74"/>
    </row>
    <row r="111" spans="1:15" ht="15.75" customHeight="1" x14ac:dyDescent="0.2">
      <c r="A111" s="48"/>
      <c r="B111" s="73"/>
      <c r="C111" s="73"/>
      <c r="D111" s="73"/>
      <c r="E111" s="73"/>
      <c r="F111" s="73"/>
      <c r="G111" s="73"/>
      <c r="H111" s="73"/>
      <c r="I111" s="70"/>
      <c r="J111" s="70"/>
      <c r="K111" s="71"/>
      <c r="L111" s="71"/>
      <c r="M111" s="73"/>
      <c r="N111" s="73"/>
      <c r="O111" s="74"/>
    </row>
    <row r="112" spans="1:15" ht="15.75" customHeight="1" x14ac:dyDescent="0.2">
      <c r="A112" s="48"/>
      <c r="B112" s="73"/>
      <c r="C112" s="73"/>
      <c r="D112" s="73"/>
      <c r="E112" s="73"/>
      <c r="F112" s="73"/>
      <c r="G112" s="73"/>
      <c r="H112" s="73"/>
      <c r="I112" s="70"/>
      <c r="J112" s="70"/>
      <c r="K112" s="71"/>
      <c r="L112" s="71"/>
      <c r="M112" s="73"/>
      <c r="N112" s="73"/>
      <c r="O112" s="74"/>
    </row>
    <row r="113" spans="1:15" ht="15.75" customHeight="1" x14ac:dyDescent="0.2">
      <c r="A113" s="48"/>
      <c r="B113" s="73"/>
      <c r="C113" s="73"/>
      <c r="D113" s="73"/>
      <c r="E113" s="73"/>
      <c r="F113" s="73"/>
      <c r="G113" s="73"/>
      <c r="H113" s="73"/>
      <c r="I113" s="70"/>
      <c r="J113" s="70"/>
      <c r="K113" s="71"/>
      <c r="L113" s="71"/>
      <c r="M113" s="73"/>
      <c r="N113" s="73"/>
      <c r="O113" s="74"/>
    </row>
    <row r="114" spans="1:15" ht="15.75" customHeight="1" x14ac:dyDescent="0.2">
      <c r="A114" s="48"/>
      <c r="B114" s="73"/>
      <c r="C114" s="73"/>
      <c r="D114" s="73"/>
      <c r="E114" s="73"/>
      <c r="F114" s="73"/>
      <c r="G114" s="73"/>
      <c r="H114" s="73"/>
      <c r="I114" s="70"/>
      <c r="J114" s="70"/>
      <c r="K114" s="71"/>
      <c r="L114" s="71"/>
      <c r="M114" s="73"/>
      <c r="N114" s="73"/>
      <c r="O114" s="74"/>
    </row>
    <row r="115" spans="1:15" ht="15.75" customHeight="1" x14ac:dyDescent="0.2">
      <c r="A115" s="48"/>
      <c r="B115" s="73"/>
      <c r="C115" s="73"/>
      <c r="D115" s="73"/>
      <c r="E115" s="73"/>
      <c r="F115" s="73"/>
      <c r="G115" s="73"/>
      <c r="H115" s="73"/>
      <c r="I115" s="70"/>
      <c r="J115" s="70"/>
      <c r="K115" s="71"/>
      <c r="L115" s="71"/>
      <c r="M115" s="73"/>
      <c r="N115" s="73"/>
      <c r="O115" s="74"/>
    </row>
    <row r="116" spans="1:15" ht="15.75" customHeight="1" x14ac:dyDescent="0.2">
      <c r="A116" s="48"/>
      <c r="B116" s="73"/>
      <c r="C116" s="73"/>
      <c r="D116" s="73"/>
      <c r="E116" s="73"/>
      <c r="F116" s="73"/>
      <c r="G116" s="73"/>
      <c r="H116" s="73"/>
      <c r="I116" s="70"/>
      <c r="J116" s="70"/>
      <c r="K116" s="71"/>
      <c r="L116" s="71"/>
      <c r="M116" s="73"/>
      <c r="N116" s="73"/>
      <c r="O116" s="74"/>
    </row>
    <row r="117" spans="1:15" ht="15.75" customHeight="1" x14ac:dyDescent="0.2">
      <c r="A117" s="48"/>
      <c r="B117" s="73"/>
      <c r="C117" s="73"/>
      <c r="D117" s="73"/>
      <c r="E117" s="73"/>
      <c r="F117" s="73"/>
      <c r="G117" s="73"/>
      <c r="H117" s="73"/>
      <c r="I117" s="70"/>
      <c r="J117" s="70"/>
      <c r="K117" s="71"/>
      <c r="L117" s="71"/>
      <c r="M117" s="73"/>
      <c r="N117" s="73"/>
      <c r="O117" s="74"/>
    </row>
    <row r="118" spans="1:15" ht="15.75" customHeight="1" x14ac:dyDescent="0.2">
      <c r="A118" s="48"/>
      <c r="B118" s="73"/>
      <c r="C118" s="73"/>
      <c r="D118" s="73"/>
      <c r="E118" s="73"/>
      <c r="F118" s="73"/>
      <c r="G118" s="73"/>
      <c r="H118" s="73"/>
      <c r="I118" s="70"/>
      <c r="J118" s="70"/>
      <c r="K118" s="71"/>
      <c r="L118" s="71"/>
      <c r="M118" s="73"/>
      <c r="N118" s="73"/>
      <c r="O118" s="74"/>
    </row>
    <row r="119" spans="1:15" ht="15.75" customHeight="1" x14ac:dyDescent="0.2">
      <c r="A119" s="48"/>
      <c r="B119" s="73"/>
      <c r="C119" s="73"/>
      <c r="D119" s="73"/>
      <c r="E119" s="73"/>
      <c r="F119" s="73"/>
      <c r="G119" s="73"/>
      <c r="H119" s="73"/>
      <c r="I119" s="70"/>
      <c r="J119" s="70"/>
      <c r="K119" s="71"/>
      <c r="L119" s="71"/>
      <c r="M119" s="73"/>
      <c r="N119" s="73"/>
      <c r="O119" s="74"/>
    </row>
    <row r="120" spans="1:15" ht="15.75" customHeight="1" x14ac:dyDescent="0.2">
      <c r="A120" s="48"/>
      <c r="B120" s="73"/>
      <c r="C120" s="73"/>
      <c r="D120" s="73"/>
      <c r="E120" s="73"/>
      <c r="F120" s="73"/>
      <c r="G120" s="73"/>
      <c r="H120" s="73"/>
      <c r="I120" s="70"/>
      <c r="J120" s="70"/>
      <c r="K120" s="71"/>
      <c r="L120" s="71"/>
      <c r="M120" s="73"/>
      <c r="N120" s="73"/>
      <c r="O120" s="74"/>
    </row>
    <row r="121" spans="1:15" ht="15.75" customHeight="1" x14ac:dyDescent="0.2">
      <c r="A121" s="72"/>
      <c r="B121" s="73"/>
      <c r="C121" s="74"/>
      <c r="D121" s="74"/>
      <c r="E121" s="73"/>
      <c r="F121" s="74"/>
      <c r="G121" s="74"/>
      <c r="H121" s="74"/>
      <c r="I121" s="70"/>
      <c r="J121" s="70"/>
      <c r="K121" s="71"/>
      <c r="L121" s="71"/>
      <c r="M121" s="73"/>
      <c r="N121" s="74"/>
      <c r="O121" s="74"/>
    </row>
    <row r="122" spans="1:15" ht="15" customHeight="1" x14ac:dyDescent="0.2">
      <c r="B122" s="59"/>
      <c r="C122" s="59"/>
      <c r="D122" s="59"/>
    </row>
    <row r="123" spans="1:15" ht="15" customHeight="1" x14ac:dyDescent="0.2">
      <c r="B123" s="59"/>
      <c r="C123" s="59"/>
      <c r="D123" s="59"/>
    </row>
    <row r="124" spans="1:15" ht="15" customHeight="1" x14ac:dyDescent="0.2">
      <c r="B124" s="59"/>
      <c r="C124" s="59"/>
      <c r="D124" s="59"/>
    </row>
    <row r="125" spans="1:15" ht="15" customHeight="1" x14ac:dyDescent="0.2">
      <c r="B125" s="59"/>
      <c r="C125" s="59"/>
      <c r="D125" s="59"/>
    </row>
    <row r="126" spans="1:15" ht="15" customHeight="1" x14ac:dyDescent="0.2">
      <c r="B126" s="59"/>
      <c r="C126" s="59"/>
      <c r="D126" s="59"/>
    </row>
    <row r="127" spans="1:15" ht="15" customHeight="1" x14ac:dyDescent="0.2">
      <c r="B127" s="59"/>
      <c r="C127" s="59"/>
      <c r="D127" s="59"/>
    </row>
    <row r="128" spans="1:15" ht="15" customHeight="1" x14ac:dyDescent="0.2">
      <c r="B128" s="59"/>
      <c r="C128" s="59"/>
      <c r="D128" s="59"/>
    </row>
    <row r="129" spans="2:4" ht="15" customHeight="1" x14ac:dyDescent="0.2">
      <c r="B129" s="59"/>
      <c r="C129" s="59"/>
      <c r="D129" s="59"/>
    </row>
    <row r="130" spans="2:4" ht="15" customHeight="1" x14ac:dyDescent="0.2">
      <c r="B130" s="59"/>
      <c r="C130" s="59"/>
      <c r="D130" s="59"/>
    </row>
    <row r="131" spans="2:4" ht="15" customHeight="1" x14ac:dyDescent="0.2">
      <c r="B131" s="59"/>
      <c r="C131" s="59"/>
      <c r="D131" s="59"/>
    </row>
    <row r="132" spans="2:4" ht="15" customHeight="1" x14ac:dyDescent="0.2">
      <c r="B132" s="59"/>
      <c r="C132" s="59"/>
      <c r="D132" s="59"/>
    </row>
    <row r="133" spans="2:4" ht="15" customHeight="1" x14ac:dyDescent="0.2">
      <c r="B133" s="59"/>
      <c r="C133" s="59"/>
      <c r="D133" s="59"/>
    </row>
    <row r="134" spans="2:4" ht="15" customHeight="1" x14ac:dyDescent="0.2">
      <c r="B134" s="59"/>
      <c r="C134" s="59"/>
      <c r="D134" s="59"/>
    </row>
    <row r="135" spans="2:4" ht="15" customHeight="1" x14ac:dyDescent="0.2">
      <c r="B135" s="59"/>
      <c r="C135" s="59"/>
      <c r="D135" s="59"/>
    </row>
    <row r="136" spans="2:4" ht="15" customHeight="1" x14ac:dyDescent="0.2">
      <c r="B136" s="59"/>
      <c r="C136" s="59"/>
      <c r="D136" s="59"/>
    </row>
    <row r="137" spans="2:4" ht="15" customHeight="1" x14ac:dyDescent="0.2">
      <c r="B137" s="59"/>
      <c r="C137" s="59"/>
      <c r="D137" s="59"/>
    </row>
    <row r="138" spans="2:4" ht="15" customHeight="1" x14ac:dyDescent="0.2">
      <c r="B138" s="59"/>
      <c r="C138" s="59"/>
      <c r="D138" s="59"/>
    </row>
    <row r="139" spans="2:4" ht="15" customHeight="1" x14ac:dyDescent="0.2">
      <c r="B139" s="59"/>
      <c r="C139" s="59"/>
      <c r="D139" s="59"/>
    </row>
    <row r="140" spans="2:4" ht="15" customHeight="1" x14ac:dyDescent="0.2">
      <c r="B140" s="59"/>
      <c r="C140" s="59"/>
      <c r="D140" s="59"/>
    </row>
    <row r="141" spans="2:4" ht="15" customHeight="1" x14ac:dyDescent="0.2">
      <c r="B141" s="59"/>
      <c r="C141" s="59"/>
      <c r="D141" s="59"/>
    </row>
    <row r="142" spans="2:4" ht="15" customHeight="1" x14ac:dyDescent="0.2">
      <c r="B142" s="59"/>
      <c r="C142" s="59"/>
      <c r="D142" s="59"/>
    </row>
    <row r="143" spans="2:4" ht="15" customHeight="1" x14ac:dyDescent="0.2">
      <c r="B143" s="59"/>
      <c r="C143" s="59"/>
      <c r="D143" s="59"/>
    </row>
    <row r="144" spans="2:4" ht="15" customHeight="1" x14ac:dyDescent="0.2">
      <c r="B144" s="59"/>
      <c r="C144" s="59"/>
      <c r="D144" s="59"/>
    </row>
    <row r="145" spans="2:4" ht="15" customHeight="1" x14ac:dyDescent="0.2">
      <c r="B145" s="59"/>
      <c r="C145" s="59"/>
      <c r="D145" s="59"/>
    </row>
    <row r="146" spans="2:4" ht="15" customHeight="1" x14ac:dyDescent="0.2">
      <c r="B146" s="59"/>
      <c r="C146" s="59"/>
      <c r="D146" s="59"/>
    </row>
    <row r="147" spans="2:4" ht="15" customHeight="1" x14ac:dyDescent="0.2">
      <c r="B147" s="59"/>
      <c r="C147" s="59"/>
      <c r="D147" s="59"/>
    </row>
    <row r="148" spans="2:4" ht="15" customHeight="1" x14ac:dyDescent="0.2">
      <c r="B148" s="59"/>
      <c r="C148" s="59"/>
      <c r="D148" s="59"/>
    </row>
    <row r="149" spans="2:4" ht="15" customHeight="1" x14ac:dyDescent="0.2">
      <c r="B149" s="59"/>
      <c r="C149" s="59"/>
      <c r="D149" s="59"/>
    </row>
    <row r="150" spans="2:4" ht="15" customHeight="1" x14ac:dyDescent="0.2">
      <c r="B150" s="59"/>
      <c r="C150" s="59"/>
      <c r="D150" s="59"/>
    </row>
    <row r="151" spans="2:4" ht="15" customHeight="1" x14ac:dyDescent="0.2">
      <c r="B151" s="59"/>
      <c r="C151" s="59"/>
      <c r="D151" s="59"/>
    </row>
    <row r="152" spans="2:4" ht="15" customHeight="1" x14ac:dyDescent="0.2">
      <c r="B152" s="59"/>
      <c r="C152" s="59"/>
      <c r="D152" s="59"/>
    </row>
    <row r="153" spans="2:4" ht="15" customHeight="1" x14ac:dyDescent="0.2">
      <c r="B153" s="59"/>
      <c r="C153" s="59"/>
      <c r="D153" s="59"/>
    </row>
    <row r="154" spans="2:4" ht="15" customHeight="1" x14ac:dyDescent="0.2">
      <c r="B154" s="59"/>
      <c r="C154" s="59"/>
      <c r="D154" s="59"/>
    </row>
    <row r="155" spans="2:4" ht="15" customHeight="1" x14ac:dyDescent="0.2">
      <c r="B155" s="59"/>
      <c r="C155" s="59"/>
      <c r="D155" s="59"/>
    </row>
    <row r="156" spans="2:4" ht="15" customHeight="1" x14ac:dyDescent="0.2">
      <c r="B156" s="59"/>
      <c r="C156" s="59"/>
      <c r="D156" s="59"/>
    </row>
    <row r="157" spans="2:4" ht="15" customHeight="1" x14ac:dyDescent="0.2">
      <c r="B157" s="59"/>
      <c r="C157" s="59"/>
      <c r="D157" s="59"/>
    </row>
    <row r="158" spans="2:4" ht="15" customHeight="1" x14ac:dyDescent="0.2">
      <c r="B158" s="59"/>
      <c r="C158" s="59"/>
      <c r="D158" s="59"/>
    </row>
    <row r="159" spans="2:4" ht="15" customHeight="1" x14ac:dyDescent="0.2">
      <c r="B159" s="59"/>
      <c r="C159" s="59"/>
      <c r="D159" s="59"/>
    </row>
    <row r="160" spans="2:4" ht="15" customHeight="1" x14ac:dyDescent="0.2">
      <c r="B160" s="59"/>
      <c r="C160" s="59"/>
      <c r="D160" s="59"/>
    </row>
    <row r="161" spans="2:4" ht="15" customHeight="1" x14ac:dyDescent="0.2">
      <c r="B161" s="59"/>
      <c r="C161" s="59"/>
      <c r="D161" s="59"/>
    </row>
    <row r="162" spans="2:4" ht="15" customHeight="1" x14ac:dyDescent="0.2">
      <c r="B162" s="59"/>
      <c r="C162" s="59"/>
      <c r="D162" s="59"/>
    </row>
    <row r="163" spans="2:4" ht="15" customHeight="1" x14ac:dyDescent="0.2">
      <c r="B163" s="59"/>
      <c r="C163" s="59"/>
      <c r="D163" s="59"/>
    </row>
    <row r="164" spans="2:4" ht="15" customHeight="1" x14ac:dyDescent="0.2">
      <c r="B164" s="59"/>
      <c r="C164" s="59"/>
      <c r="D164" s="59"/>
    </row>
    <row r="165" spans="2:4" ht="15" customHeight="1" x14ac:dyDescent="0.2">
      <c r="B165" s="59"/>
      <c r="C165" s="59"/>
      <c r="D165" s="59"/>
    </row>
    <row r="166" spans="2:4" ht="15" customHeight="1" x14ac:dyDescent="0.2">
      <c r="B166" s="59"/>
      <c r="C166" s="59"/>
      <c r="D166" s="59"/>
    </row>
    <row r="167" spans="2:4" ht="15" customHeight="1" x14ac:dyDescent="0.2">
      <c r="B167" s="59"/>
      <c r="C167" s="59"/>
      <c r="D167" s="59"/>
    </row>
    <row r="168" spans="2:4" ht="15" customHeight="1" x14ac:dyDescent="0.2">
      <c r="B168" s="59"/>
      <c r="C168" s="59"/>
      <c r="D168" s="59"/>
    </row>
    <row r="169" spans="2:4" ht="15" customHeight="1" x14ac:dyDescent="0.2">
      <c r="B169" s="59"/>
      <c r="C169" s="59"/>
      <c r="D169" s="59"/>
    </row>
    <row r="170" spans="2:4" ht="15" customHeight="1" x14ac:dyDescent="0.2">
      <c r="B170" s="59"/>
      <c r="C170" s="59"/>
      <c r="D170" s="59"/>
    </row>
    <row r="171" spans="2:4" ht="15" customHeight="1" x14ac:dyDescent="0.2">
      <c r="B171" s="59"/>
      <c r="C171" s="59"/>
      <c r="D171" s="59"/>
    </row>
    <row r="172" spans="2:4" ht="15" customHeight="1" x14ac:dyDescent="0.2">
      <c r="B172" s="59"/>
      <c r="C172" s="59"/>
      <c r="D172" s="59"/>
    </row>
    <row r="173" spans="2:4" ht="15" customHeight="1" x14ac:dyDescent="0.2">
      <c r="B173" s="59"/>
      <c r="C173" s="59"/>
      <c r="D173" s="59"/>
    </row>
    <row r="174" spans="2:4" ht="15" customHeight="1" x14ac:dyDescent="0.2">
      <c r="B174" s="59"/>
      <c r="C174" s="59"/>
      <c r="D174" s="59"/>
    </row>
    <row r="175" spans="2:4" ht="15" customHeight="1" x14ac:dyDescent="0.2">
      <c r="B175" s="59"/>
      <c r="C175" s="59"/>
      <c r="D175" s="59"/>
    </row>
  </sheetData>
  <mergeCells count="122">
    <mergeCell ref="A56:D57"/>
    <mergeCell ref="E56:H56"/>
    <mergeCell ref="K56:K57"/>
    <mergeCell ref="L56:L57"/>
    <mergeCell ref="M56:O56"/>
    <mergeCell ref="E57:H57"/>
    <mergeCell ref="M57:O57"/>
    <mergeCell ref="E49:H49"/>
    <mergeCell ref="E50:H50"/>
    <mergeCell ref="E51:H51"/>
    <mergeCell ref="E52:H52"/>
    <mergeCell ref="E53:H53"/>
    <mergeCell ref="E54:H54"/>
    <mergeCell ref="A45:A55"/>
    <mergeCell ref="B45:D55"/>
    <mergeCell ref="E45:H45"/>
    <mergeCell ref="K45:K55"/>
    <mergeCell ref="L45:L55"/>
    <mergeCell ref="M45:O45"/>
    <mergeCell ref="E46:H46"/>
    <mergeCell ref="E47:H47"/>
    <mergeCell ref="E48:H48"/>
    <mergeCell ref="E55:H55"/>
    <mergeCell ref="M55:O55"/>
    <mergeCell ref="E42:H42"/>
    <mergeCell ref="M42:O42"/>
    <mergeCell ref="A43:A44"/>
    <mergeCell ref="B43:D44"/>
    <mergeCell ref="E43:H43"/>
    <mergeCell ref="J43:J44"/>
    <mergeCell ref="K43:K44"/>
    <mergeCell ref="L43:L44"/>
    <mergeCell ref="M43:O43"/>
    <mergeCell ref="E44:H44"/>
    <mergeCell ref="A39:A42"/>
    <mergeCell ref="B39:D42"/>
    <mergeCell ref="E39:H39"/>
    <mergeCell ref="K39:K42"/>
    <mergeCell ref="L39:L42"/>
    <mergeCell ref="M39:O39"/>
    <mergeCell ref="E40:H40"/>
    <mergeCell ref="M40:O40"/>
    <mergeCell ref="E41:H41"/>
    <mergeCell ref="M41:O41"/>
    <mergeCell ref="M44:O44"/>
    <mergeCell ref="M24:O24"/>
    <mergeCell ref="E25:H25"/>
    <mergeCell ref="M25:O25"/>
    <mergeCell ref="B38:D38"/>
    <mergeCell ref="E38:H38"/>
    <mergeCell ref="M38:O38"/>
    <mergeCell ref="M32:O32"/>
    <mergeCell ref="E33:H33"/>
    <mergeCell ref="M33:O33"/>
    <mergeCell ref="E34:H34"/>
    <mergeCell ref="M34:O34"/>
    <mergeCell ref="E35:H35"/>
    <mergeCell ref="M35:O35"/>
    <mergeCell ref="E27:H27"/>
    <mergeCell ref="A32:A37"/>
    <mergeCell ref="B32:D37"/>
    <mergeCell ref="E32:H32"/>
    <mergeCell ref="K32:K37"/>
    <mergeCell ref="L32:L37"/>
    <mergeCell ref="E36:H36"/>
    <mergeCell ref="E37:H37"/>
    <mergeCell ref="M37:O37"/>
    <mergeCell ref="M29:O29"/>
    <mergeCell ref="E30:H30"/>
    <mergeCell ref="M30:O30"/>
    <mergeCell ref="E31:H31"/>
    <mergeCell ref="M31:O31"/>
    <mergeCell ref="A29:A31"/>
    <mergeCell ref="B29:D31"/>
    <mergeCell ref="E29:H29"/>
    <mergeCell ref="K29:K31"/>
    <mergeCell ref="L29:L31"/>
    <mergeCell ref="A11:A28"/>
    <mergeCell ref="B11:D28"/>
    <mergeCell ref="E11:H11"/>
    <mergeCell ref="E13:H13"/>
    <mergeCell ref="E14:H14"/>
    <mergeCell ref="E15:H15"/>
    <mergeCell ref="E16:H16"/>
    <mergeCell ref="E22:H22"/>
    <mergeCell ref="E23:H23"/>
    <mergeCell ref="E24:H24"/>
    <mergeCell ref="A3:E3"/>
    <mergeCell ref="A4:E4"/>
    <mergeCell ref="A5:E5"/>
    <mergeCell ref="A9:A10"/>
    <mergeCell ref="B9:H9"/>
    <mergeCell ref="I9:I10"/>
    <mergeCell ref="M27:O27"/>
    <mergeCell ref="E28:H28"/>
    <mergeCell ref="M28:O28"/>
    <mergeCell ref="J9:J10"/>
    <mergeCell ref="K9:K10"/>
    <mergeCell ref="L9:L10"/>
    <mergeCell ref="M9:O10"/>
    <mergeCell ref="B10:D10"/>
    <mergeCell ref="E10:H10"/>
    <mergeCell ref="E17:H17"/>
    <mergeCell ref="K11:K28"/>
    <mergeCell ref="L11:L28"/>
    <mergeCell ref="E12:H12"/>
    <mergeCell ref="E18:H18"/>
    <mergeCell ref="E19:H19"/>
    <mergeCell ref="E20:H20"/>
    <mergeCell ref="E21:H21"/>
    <mergeCell ref="E26:H26"/>
    <mergeCell ref="M22:O22"/>
    <mergeCell ref="M11:O11"/>
    <mergeCell ref="M13:O13"/>
    <mergeCell ref="M14:O14"/>
    <mergeCell ref="M15:O15"/>
    <mergeCell ref="M16:O16"/>
    <mergeCell ref="M17:O17"/>
    <mergeCell ref="M18:O18"/>
    <mergeCell ref="M19:O19"/>
    <mergeCell ref="M20:O20"/>
    <mergeCell ref="M12:O12"/>
  </mergeCells>
  <dataValidations count="1">
    <dataValidation type="list" allowBlank="1" showErrorMessage="1" sqref="G7" xr:uid="{00000000-0002-0000-0000-000000000000}">
      <formula1>"Tiempo horario,Tiempo completo,"</formula1>
    </dataValidation>
  </dataValidations>
  <pageMargins left="0.54" right="0.26" top="0.74803149606299213" bottom="0.67" header="0" footer="0"/>
  <pageSetup scale="8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1"/>
  <sheetViews>
    <sheetView topLeftCell="A16" workbookViewId="0">
      <selection activeCell="J41" sqref="J41"/>
    </sheetView>
  </sheetViews>
  <sheetFormatPr defaultColWidth="14.390625" defaultRowHeight="15" customHeight="1" x14ac:dyDescent="0.2"/>
  <cols>
    <col min="1" max="1" width="5.6484375" customWidth="1"/>
    <col min="2" max="8" width="10.76171875" customWidth="1"/>
    <col min="9" max="9" width="11.43359375" customWidth="1"/>
    <col min="10" max="10" width="5.109375" customWidth="1"/>
    <col min="11" max="11" width="8.47265625" customWidth="1"/>
    <col min="12" max="12" width="11.43359375" customWidth="1"/>
    <col min="13" max="13" width="16.0078125" customWidth="1"/>
    <col min="14" max="14" width="14.390625" customWidth="1"/>
    <col min="15" max="16" width="10.76171875" customWidth="1"/>
  </cols>
  <sheetData>
    <row r="1" spans="1:16" ht="18" x14ac:dyDescent="0.2">
      <c r="A1" t="s">
        <v>0</v>
      </c>
      <c r="G1" s="1" t="s">
        <v>1</v>
      </c>
      <c r="I1" s="2"/>
      <c r="J1" s="2"/>
      <c r="K1" s="3"/>
      <c r="L1" s="3"/>
    </row>
    <row r="2" spans="1:16" ht="27.75" x14ac:dyDescent="0.2">
      <c r="I2" s="2"/>
      <c r="J2" s="2"/>
      <c r="K2" s="3"/>
      <c r="L2" s="3"/>
      <c r="N2" s="4" t="s">
        <v>2</v>
      </c>
      <c r="O2" s="3" t="s">
        <v>3</v>
      </c>
    </row>
    <row r="3" spans="1:16" x14ac:dyDescent="0.2">
      <c r="A3" s="95" t="s">
        <v>4</v>
      </c>
      <c r="B3" s="93"/>
      <c r="C3" s="93"/>
      <c r="D3" s="93"/>
      <c r="E3" s="93"/>
      <c r="F3" s="6" t="s">
        <v>5</v>
      </c>
      <c r="G3" s="7" t="s">
        <v>87</v>
      </c>
      <c r="H3" s="8"/>
      <c r="I3" s="9"/>
      <c r="J3" s="2"/>
      <c r="K3" s="3"/>
      <c r="L3" s="3"/>
      <c r="M3" s="6" t="s">
        <v>6</v>
      </c>
      <c r="N3" s="10">
        <v>52</v>
      </c>
      <c r="O3" s="2">
        <f>N3*J7</f>
        <v>2080</v>
      </c>
    </row>
    <row r="4" spans="1:16" x14ac:dyDescent="0.2">
      <c r="A4" s="95" t="s">
        <v>7</v>
      </c>
      <c r="B4" s="93"/>
      <c r="C4" s="93"/>
      <c r="D4" s="93"/>
      <c r="E4" s="93"/>
      <c r="F4" s="6" t="s">
        <v>8</v>
      </c>
      <c r="G4" s="8" t="s">
        <v>88</v>
      </c>
      <c r="H4" s="7"/>
      <c r="I4" s="9"/>
      <c r="J4" s="9">
        <v>6</v>
      </c>
      <c r="K4" s="3" t="s">
        <v>9</v>
      </c>
      <c r="L4" s="3"/>
      <c r="M4" s="6" t="s">
        <v>10</v>
      </c>
      <c r="N4" s="10">
        <v>40</v>
      </c>
      <c r="O4" s="2">
        <f>(J4+J5+J6)*N4</f>
        <v>240</v>
      </c>
    </row>
    <row r="5" spans="1:16" x14ac:dyDescent="0.2">
      <c r="A5" s="95" t="s">
        <v>11</v>
      </c>
      <c r="B5" s="93"/>
      <c r="C5" s="93"/>
      <c r="D5" s="93"/>
      <c r="E5" s="93"/>
      <c r="F5" s="11"/>
      <c r="G5" s="8"/>
      <c r="H5" s="7"/>
      <c r="I5" s="9"/>
      <c r="J5" s="9"/>
      <c r="K5" s="3" t="s">
        <v>9</v>
      </c>
      <c r="L5" s="3"/>
      <c r="M5" s="6" t="s">
        <v>12</v>
      </c>
      <c r="N5" s="2"/>
      <c r="O5" s="5">
        <f>O3-K11-O6</f>
        <v>1016</v>
      </c>
    </row>
    <row r="6" spans="1:16" x14ac:dyDescent="0.2">
      <c r="G6" s="8"/>
      <c r="H6" s="7"/>
      <c r="I6" s="9"/>
      <c r="J6" s="9"/>
      <c r="K6" s="3" t="s">
        <v>9</v>
      </c>
      <c r="L6" s="3"/>
      <c r="M6" s="6" t="s">
        <v>13</v>
      </c>
      <c r="N6" s="9">
        <v>15</v>
      </c>
      <c r="O6" s="2">
        <f>N6*8</f>
        <v>120</v>
      </c>
    </row>
    <row r="7" spans="1:16" x14ac:dyDescent="0.2">
      <c r="F7" s="6" t="s">
        <v>14</v>
      </c>
      <c r="G7" s="12" t="s">
        <v>15</v>
      </c>
      <c r="H7" s="7"/>
      <c r="I7" s="9"/>
      <c r="J7" s="9">
        <f>IF(H7="Tiempo horario",SUM(J4:J6),40)</f>
        <v>40</v>
      </c>
      <c r="K7" s="3" t="s">
        <v>9</v>
      </c>
      <c r="L7" s="3"/>
      <c r="M7" s="6" t="s">
        <v>16</v>
      </c>
      <c r="N7" s="2"/>
      <c r="O7" s="2">
        <v>128</v>
      </c>
    </row>
    <row r="8" spans="1:16" x14ac:dyDescent="0.2">
      <c r="I8" s="2"/>
      <c r="J8" s="2"/>
      <c r="K8" s="3"/>
      <c r="L8" s="3"/>
      <c r="M8" s="6" t="s">
        <v>17</v>
      </c>
      <c r="O8" s="2">
        <f>O3-O6-O7</f>
        <v>1832</v>
      </c>
    </row>
    <row r="9" spans="1:16" x14ac:dyDescent="0.2">
      <c r="A9" s="96" t="s">
        <v>18</v>
      </c>
      <c r="B9" s="98" t="s">
        <v>19</v>
      </c>
      <c r="C9" s="99"/>
      <c r="D9" s="99"/>
      <c r="E9" s="99"/>
      <c r="F9" s="99"/>
      <c r="G9" s="99"/>
      <c r="H9" s="100"/>
      <c r="I9" s="96" t="s">
        <v>9</v>
      </c>
      <c r="J9" s="105" t="s">
        <v>3</v>
      </c>
      <c r="K9" s="105" t="s">
        <v>20</v>
      </c>
      <c r="L9" s="96" t="s">
        <v>21</v>
      </c>
      <c r="M9" s="106" t="s">
        <v>22</v>
      </c>
      <c r="N9" s="107"/>
      <c r="O9" s="108"/>
      <c r="P9" s="2"/>
    </row>
    <row r="10" spans="1:16" x14ac:dyDescent="0.2">
      <c r="A10" s="97"/>
      <c r="B10" s="98" t="s">
        <v>23</v>
      </c>
      <c r="C10" s="99"/>
      <c r="D10" s="100"/>
      <c r="E10" s="110" t="s">
        <v>24</v>
      </c>
      <c r="F10" s="107"/>
      <c r="G10" s="107"/>
      <c r="H10" s="108"/>
      <c r="I10" s="97"/>
      <c r="J10" s="97"/>
      <c r="K10" s="97"/>
      <c r="L10" s="97"/>
      <c r="M10" s="109"/>
      <c r="N10" s="102"/>
      <c r="O10" s="103"/>
      <c r="P10" s="2"/>
    </row>
    <row r="11" spans="1:16" x14ac:dyDescent="0.2">
      <c r="A11" s="118">
        <v>1</v>
      </c>
      <c r="B11" s="112" t="s">
        <v>25</v>
      </c>
      <c r="C11" s="107"/>
      <c r="D11" s="108"/>
      <c r="E11" s="119" t="s">
        <v>26</v>
      </c>
      <c r="F11" s="107"/>
      <c r="G11" s="107"/>
      <c r="H11" s="107"/>
      <c r="I11" s="14">
        <v>3</v>
      </c>
      <c r="J11" s="15">
        <f t="shared" ref="J11:J14" si="0">I11*40</f>
        <v>120</v>
      </c>
      <c r="K11" s="112">
        <f>SUM(J11:J28)</f>
        <v>944</v>
      </c>
      <c r="L11" s="114">
        <f>ROUND((K11/$O$8*100),2)</f>
        <v>51.53</v>
      </c>
      <c r="M11" s="3"/>
      <c r="N11" s="3"/>
      <c r="O11" s="3"/>
      <c r="P11" s="2"/>
    </row>
    <row r="12" spans="1:16" x14ac:dyDescent="0.2">
      <c r="A12" s="115"/>
      <c r="B12" s="113"/>
      <c r="C12" s="93"/>
      <c r="D12" s="94"/>
      <c r="E12" s="116" t="s">
        <v>27</v>
      </c>
      <c r="F12" s="93"/>
      <c r="G12" s="93"/>
      <c r="H12" s="93"/>
      <c r="I12" s="16">
        <f>J4+J5+J6</f>
        <v>6</v>
      </c>
      <c r="J12" s="15">
        <f t="shared" si="0"/>
        <v>240</v>
      </c>
      <c r="K12" s="113"/>
      <c r="L12" s="115"/>
      <c r="M12" s="92" t="s">
        <v>28</v>
      </c>
      <c r="N12" s="93"/>
      <c r="O12" s="94"/>
    </row>
    <row r="13" spans="1:16" x14ac:dyDescent="0.2">
      <c r="A13" s="115"/>
      <c r="B13" s="113"/>
      <c r="C13" s="93"/>
      <c r="D13" s="94"/>
      <c r="E13" s="111" t="s">
        <v>29</v>
      </c>
      <c r="F13" s="93"/>
      <c r="G13" s="93"/>
      <c r="H13" s="94"/>
      <c r="I13" s="18">
        <v>3</v>
      </c>
      <c r="J13" s="15">
        <f t="shared" si="0"/>
        <v>120</v>
      </c>
      <c r="K13" s="113"/>
      <c r="L13" s="115"/>
      <c r="M13" s="17"/>
      <c r="N13" s="17"/>
      <c r="O13" s="19"/>
    </row>
    <row r="14" spans="1:16" x14ac:dyDescent="0.2">
      <c r="A14" s="115"/>
      <c r="B14" s="113"/>
      <c r="C14" s="93"/>
      <c r="D14" s="94"/>
      <c r="E14" s="111" t="s">
        <v>30</v>
      </c>
      <c r="F14" s="93"/>
      <c r="G14" s="93"/>
      <c r="H14" s="94"/>
      <c r="I14" s="18">
        <v>3</v>
      </c>
      <c r="J14" s="15">
        <f t="shared" si="0"/>
        <v>120</v>
      </c>
      <c r="K14" s="113"/>
      <c r="L14" s="115"/>
      <c r="M14" s="17"/>
      <c r="N14" s="17"/>
      <c r="O14" s="19"/>
    </row>
    <row r="15" spans="1:16" x14ac:dyDescent="0.2">
      <c r="A15" s="115"/>
      <c r="B15" s="113"/>
      <c r="C15" s="93"/>
      <c r="D15" s="94"/>
      <c r="E15" s="111" t="s">
        <v>31</v>
      </c>
      <c r="F15" s="93"/>
      <c r="G15" s="93"/>
      <c r="H15" s="94"/>
      <c r="I15" s="20"/>
      <c r="J15" s="9">
        <v>16</v>
      </c>
      <c r="K15" s="113"/>
      <c r="L15" s="115"/>
      <c r="M15" s="17"/>
      <c r="N15" s="17"/>
      <c r="O15" s="19"/>
    </row>
    <row r="16" spans="1:16" x14ac:dyDescent="0.2">
      <c r="A16" s="115"/>
      <c r="B16" s="113"/>
      <c r="C16" s="93"/>
      <c r="D16" s="94"/>
      <c r="E16" s="111" t="s">
        <v>32</v>
      </c>
      <c r="F16" s="93"/>
      <c r="G16" s="93"/>
      <c r="H16" s="94"/>
      <c r="I16" s="20"/>
      <c r="J16" s="9">
        <v>80</v>
      </c>
      <c r="K16" s="113"/>
      <c r="L16" s="115"/>
      <c r="M16" s="17"/>
      <c r="N16" s="17"/>
      <c r="O16" s="19"/>
    </row>
    <row r="17" spans="1:15" x14ac:dyDescent="0.2">
      <c r="A17" s="115"/>
      <c r="B17" s="113"/>
      <c r="C17" s="93"/>
      <c r="D17" s="94"/>
      <c r="E17" s="111" t="s">
        <v>33</v>
      </c>
      <c r="F17" s="93"/>
      <c r="G17" s="93"/>
      <c r="H17" s="94"/>
      <c r="I17" s="20"/>
      <c r="J17" s="9">
        <v>4</v>
      </c>
      <c r="K17" s="113"/>
      <c r="L17" s="115"/>
      <c r="M17" s="17"/>
      <c r="N17" s="17"/>
      <c r="O17" s="19"/>
    </row>
    <row r="18" spans="1:15" ht="30" customHeight="1" x14ac:dyDescent="0.2">
      <c r="A18" s="115"/>
      <c r="B18" s="113"/>
      <c r="C18" s="93"/>
      <c r="D18" s="94"/>
      <c r="E18" s="111" t="s">
        <v>34</v>
      </c>
      <c r="F18" s="93"/>
      <c r="G18" s="93"/>
      <c r="H18" s="94"/>
      <c r="I18" s="20"/>
      <c r="J18" s="21">
        <v>4</v>
      </c>
      <c r="K18" s="113"/>
      <c r="L18" s="115"/>
      <c r="M18" s="17"/>
      <c r="N18" s="17"/>
      <c r="O18" s="19"/>
    </row>
    <row r="19" spans="1:15" x14ac:dyDescent="0.2">
      <c r="A19" s="115"/>
      <c r="B19" s="113"/>
      <c r="C19" s="93"/>
      <c r="D19" s="94"/>
      <c r="E19" s="111" t="s">
        <v>35</v>
      </c>
      <c r="F19" s="93"/>
      <c r="G19" s="93"/>
      <c r="H19" s="94"/>
      <c r="I19" s="20"/>
      <c r="J19" s="9">
        <v>0</v>
      </c>
      <c r="K19" s="113"/>
      <c r="L19" s="115"/>
      <c r="M19" s="17"/>
      <c r="N19" s="17"/>
      <c r="O19" s="19"/>
    </row>
    <row r="20" spans="1:15" x14ac:dyDescent="0.2">
      <c r="A20" s="115"/>
      <c r="B20" s="113"/>
      <c r="C20" s="93"/>
      <c r="D20" s="94"/>
      <c r="E20" s="111" t="s">
        <v>36</v>
      </c>
      <c r="F20" s="93"/>
      <c r="G20" s="93"/>
      <c r="H20" s="94"/>
      <c r="I20" s="20"/>
      <c r="J20" s="9">
        <v>0</v>
      </c>
      <c r="K20" s="113"/>
      <c r="L20" s="115"/>
      <c r="M20" s="17"/>
      <c r="N20" s="17"/>
      <c r="O20" s="19"/>
    </row>
    <row r="21" spans="1:15" ht="30" customHeight="1" x14ac:dyDescent="0.2">
      <c r="A21" s="115"/>
      <c r="B21" s="113"/>
      <c r="C21" s="93"/>
      <c r="D21" s="94"/>
      <c r="E21" s="111" t="s">
        <v>37</v>
      </c>
      <c r="F21" s="93"/>
      <c r="G21" s="93"/>
      <c r="H21" s="94"/>
      <c r="I21" s="20"/>
      <c r="J21" s="21">
        <v>0</v>
      </c>
      <c r="K21" s="113"/>
      <c r="L21" s="115"/>
      <c r="M21" s="17"/>
      <c r="N21" s="17"/>
      <c r="O21" s="19"/>
    </row>
    <row r="22" spans="1:15" x14ac:dyDescent="0.2">
      <c r="A22" s="115"/>
      <c r="B22" s="113"/>
      <c r="C22" s="93"/>
      <c r="D22" s="94"/>
      <c r="E22" s="120" t="s">
        <v>38</v>
      </c>
      <c r="F22" s="93"/>
      <c r="G22" s="93"/>
      <c r="H22" s="94"/>
      <c r="I22" s="22">
        <v>0</v>
      </c>
      <c r="J22" s="2">
        <f t="shared" ref="J22:J23" si="1">I22*40</f>
        <v>0</v>
      </c>
      <c r="K22" s="113"/>
      <c r="L22" s="115"/>
      <c r="M22" s="17"/>
      <c r="N22" s="17"/>
      <c r="O22" s="19"/>
    </row>
    <row r="23" spans="1:15" x14ac:dyDescent="0.2">
      <c r="A23" s="115"/>
      <c r="B23" s="113"/>
      <c r="C23" s="93"/>
      <c r="D23" s="94"/>
      <c r="E23" s="120" t="s">
        <v>39</v>
      </c>
      <c r="F23" s="93"/>
      <c r="G23" s="93"/>
      <c r="H23" s="94"/>
      <c r="I23" s="22">
        <v>0</v>
      </c>
      <c r="J23" s="2">
        <f t="shared" si="1"/>
        <v>0</v>
      </c>
      <c r="K23" s="113"/>
      <c r="L23" s="115"/>
      <c r="M23" s="17"/>
      <c r="N23" s="17"/>
      <c r="O23" s="19"/>
    </row>
    <row r="24" spans="1:15" ht="15.75" customHeight="1" x14ac:dyDescent="0.2">
      <c r="A24" s="115"/>
      <c r="B24" s="113"/>
      <c r="C24" s="93"/>
      <c r="D24" s="94"/>
      <c r="E24" s="121" t="s">
        <v>40</v>
      </c>
      <c r="F24" s="93"/>
      <c r="G24" s="93"/>
      <c r="H24" s="94"/>
      <c r="I24" s="23">
        <v>0</v>
      </c>
      <c r="J24" s="2">
        <f>I24*N4</f>
        <v>0</v>
      </c>
      <c r="K24" s="113"/>
      <c r="L24" s="115"/>
      <c r="M24" s="92"/>
      <c r="N24" s="93"/>
      <c r="O24" s="94"/>
    </row>
    <row r="25" spans="1:15" ht="15.75" customHeight="1" x14ac:dyDescent="0.2">
      <c r="A25" s="115"/>
      <c r="B25" s="113"/>
      <c r="C25" s="93"/>
      <c r="D25" s="94"/>
      <c r="E25" s="143" t="s">
        <v>41</v>
      </c>
      <c r="F25" s="93"/>
      <c r="G25" s="93"/>
      <c r="H25" s="94"/>
      <c r="I25" s="23">
        <v>40</v>
      </c>
      <c r="J25" s="2">
        <f>I25*6</f>
        <v>240</v>
      </c>
      <c r="K25" s="113"/>
      <c r="L25" s="115"/>
      <c r="M25" s="92"/>
      <c r="N25" s="93"/>
      <c r="O25" s="94"/>
    </row>
    <row r="26" spans="1:15" ht="15.75" customHeight="1" x14ac:dyDescent="0.2">
      <c r="A26" s="115"/>
      <c r="B26" s="113"/>
      <c r="C26" s="93"/>
      <c r="D26" s="94"/>
      <c r="E26" s="117"/>
      <c r="F26" s="93"/>
      <c r="G26" s="93"/>
      <c r="H26" s="94"/>
      <c r="I26" s="24"/>
      <c r="J26" s="2"/>
      <c r="K26" s="113"/>
      <c r="L26" s="115"/>
      <c r="M26" s="17"/>
      <c r="N26" s="17"/>
      <c r="O26" s="19"/>
    </row>
    <row r="27" spans="1:15" ht="15.75" customHeight="1" x14ac:dyDescent="0.2">
      <c r="A27" s="115"/>
      <c r="B27" s="113"/>
      <c r="C27" s="93"/>
      <c r="D27" s="94"/>
      <c r="E27" s="117"/>
      <c r="F27" s="93"/>
      <c r="G27" s="93"/>
      <c r="H27" s="94"/>
      <c r="I27" s="24"/>
      <c r="J27" s="2"/>
      <c r="K27" s="113"/>
      <c r="L27" s="115"/>
      <c r="M27" s="92"/>
      <c r="N27" s="93"/>
      <c r="O27" s="94"/>
    </row>
    <row r="28" spans="1:15" ht="15.75" customHeight="1" x14ac:dyDescent="0.2">
      <c r="A28" s="97"/>
      <c r="B28" s="109"/>
      <c r="C28" s="102"/>
      <c r="D28" s="103"/>
      <c r="E28" s="101"/>
      <c r="F28" s="102"/>
      <c r="G28" s="102"/>
      <c r="H28" s="103"/>
      <c r="I28" s="26"/>
      <c r="J28" s="25"/>
      <c r="K28" s="109"/>
      <c r="L28" s="97"/>
      <c r="M28" s="104"/>
      <c r="N28" s="102"/>
      <c r="O28" s="103"/>
    </row>
    <row r="29" spans="1:15" ht="15.75" customHeight="1" x14ac:dyDescent="0.2">
      <c r="A29" s="118">
        <v>2</v>
      </c>
      <c r="B29" s="142" t="s">
        <v>42</v>
      </c>
      <c r="C29" s="107"/>
      <c r="D29" s="108"/>
      <c r="E29" s="138" t="s">
        <v>43</v>
      </c>
      <c r="F29" s="107"/>
      <c r="G29" s="107"/>
      <c r="H29" s="108"/>
      <c r="I29" s="27"/>
      <c r="J29" s="27"/>
      <c r="K29" s="118">
        <f>$O$8*L29/100</f>
        <v>0</v>
      </c>
      <c r="L29" s="170">
        <v>0</v>
      </c>
      <c r="M29" s="138" t="s">
        <v>44</v>
      </c>
      <c r="N29" s="107"/>
      <c r="O29" s="108"/>
    </row>
    <row r="30" spans="1:15" ht="15.75" customHeight="1" x14ac:dyDescent="0.2">
      <c r="A30" s="115"/>
      <c r="B30" s="113"/>
      <c r="C30" s="93"/>
      <c r="D30" s="94"/>
      <c r="E30" s="139" t="s">
        <v>45</v>
      </c>
      <c r="F30" s="93"/>
      <c r="G30" s="93"/>
      <c r="H30" s="94"/>
      <c r="I30" s="28"/>
      <c r="J30" s="28"/>
      <c r="K30" s="115"/>
      <c r="L30" s="115"/>
      <c r="M30" s="139" t="s">
        <v>46</v>
      </c>
      <c r="N30" s="93"/>
      <c r="O30" s="94"/>
    </row>
    <row r="31" spans="1:15" ht="30" customHeight="1" x14ac:dyDescent="0.2">
      <c r="A31" s="97"/>
      <c r="B31" s="109"/>
      <c r="C31" s="102"/>
      <c r="D31" s="103"/>
      <c r="E31" s="140" t="s">
        <v>47</v>
      </c>
      <c r="F31" s="102"/>
      <c r="G31" s="102"/>
      <c r="H31" s="103"/>
      <c r="I31" s="29"/>
      <c r="J31" s="29"/>
      <c r="K31" s="97"/>
      <c r="L31" s="97"/>
      <c r="M31" s="141"/>
      <c r="N31" s="102"/>
      <c r="O31" s="103"/>
    </row>
    <row r="32" spans="1:15" ht="30" customHeight="1" x14ac:dyDescent="0.2">
      <c r="A32" s="118">
        <v>3</v>
      </c>
      <c r="B32" s="142" t="s">
        <v>48</v>
      </c>
      <c r="C32" s="107"/>
      <c r="D32" s="108"/>
      <c r="E32" s="142" t="s">
        <v>49</v>
      </c>
      <c r="F32" s="107"/>
      <c r="G32" s="107"/>
      <c r="H32" s="108"/>
      <c r="I32" s="30"/>
      <c r="J32" s="30"/>
      <c r="K32" s="130">
        <f>$O$8*L32/100</f>
        <v>18.32</v>
      </c>
      <c r="L32" s="169">
        <v>1</v>
      </c>
      <c r="M32" s="176" t="s">
        <v>50</v>
      </c>
      <c r="N32" s="107"/>
      <c r="O32" s="108"/>
    </row>
    <row r="33" spans="1:15" x14ac:dyDescent="0.2">
      <c r="A33" s="115"/>
      <c r="B33" s="113"/>
      <c r="C33" s="93"/>
      <c r="D33" s="94"/>
      <c r="E33" s="165" t="s">
        <v>51</v>
      </c>
      <c r="F33" s="93"/>
      <c r="G33" s="93"/>
      <c r="H33" s="94"/>
      <c r="I33" s="32"/>
      <c r="J33" s="32"/>
      <c r="K33" s="115"/>
      <c r="L33" s="115"/>
      <c r="M33" s="111" t="s">
        <v>52</v>
      </c>
      <c r="N33" s="93"/>
      <c r="O33" s="94"/>
    </row>
    <row r="34" spans="1:15" ht="32.25" customHeight="1" x14ac:dyDescent="0.2">
      <c r="A34" s="115"/>
      <c r="B34" s="113"/>
      <c r="C34" s="93"/>
      <c r="D34" s="94"/>
      <c r="E34" s="149" t="s">
        <v>53</v>
      </c>
      <c r="F34" s="177"/>
      <c r="G34" s="177"/>
      <c r="H34" s="178"/>
      <c r="I34" s="32"/>
      <c r="J34" s="32"/>
      <c r="K34" s="115"/>
      <c r="L34" s="115"/>
      <c r="M34" s="171" t="s">
        <v>89</v>
      </c>
      <c r="N34" s="172"/>
      <c r="O34" s="173"/>
    </row>
    <row r="35" spans="1:15" ht="49.5" customHeight="1" x14ac:dyDescent="0.2">
      <c r="A35" s="115"/>
      <c r="B35" s="113"/>
      <c r="C35" s="93"/>
      <c r="D35" s="94"/>
      <c r="E35" s="164" t="s">
        <v>54</v>
      </c>
      <c r="F35" s="93"/>
      <c r="G35" s="93"/>
      <c r="H35" s="94"/>
      <c r="I35" s="33">
        <f>+J35/2</f>
        <v>9.16</v>
      </c>
      <c r="J35" s="33">
        <f>+K32</f>
        <v>18.32</v>
      </c>
      <c r="K35" s="115"/>
      <c r="L35" s="115"/>
      <c r="M35" s="174"/>
      <c r="N35" s="93"/>
      <c r="O35" s="94"/>
    </row>
    <row r="36" spans="1:15" ht="15.75" customHeight="1" x14ac:dyDescent="0.2">
      <c r="A36" s="115"/>
      <c r="B36" s="113"/>
      <c r="C36" s="93"/>
      <c r="D36" s="94"/>
      <c r="E36" s="117" t="s">
        <v>55</v>
      </c>
      <c r="F36" s="93"/>
      <c r="G36" s="93"/>
      <c r="H36" s="94"/>
      <c r="I36" s="32"/>
      <c r="J36" s="32"/>
      <c r="K36" s="115"/>
      <c r="L36" s="115"/>
      <c r="M36" s="15"/>
      <c r="N36" s="2"/>
      <c r="O36" s="24"/>
    </row>
    <row r="37" spans="1:15" ht="15.75" customHeight="1" x14ac:dyDescent="0.2">
      <c r="A37" s="97"/>
      <c r="B37" s="109"/>
      <c r="C37" s="102"/>
      <c r="D37" s="103"/>
      <c r="E37" s="117" t="s">
        <v>56</v>
      </c>
      <c r="F37" s="93"/>
      <c r="G37" s="93"/>
      <c r="H37" s="94"/>
      <c r="I37" s="32"/>
      <c r="J37" s="32"/>
      <c r="K37" s="97"/>
      <c r="L37" s="97"/>
      <c r="M37" s="174"/>
      <c r="N37" s="93"/>
      <c r="O37" s="94"/>
    </row>
    <row r="38" spans="1:15" ht="15.75" customHeight="1" x14ac:dyDescent="0.2">
      <c r="A38" s="13">
        <v>4</v>
      </c>
      <c r="B38" s="142" t="s">
        <v>57</v>
      </c>
      <c r="C38" s="107"/>
      <c r="D38" s="107"/>
      <c r="E38" s="156" t="s">
        <v>58</v>
      </c>
      <c r="F38" s="107"/>
      <c r="G38" s="107"/>
      <c r="H38" s="107"/>
      <c r="I38" s="34"/>
      <c r="J38" s="35"/>
      <c r="K38" s="36">
        <f>$O$8*L38/100</f>
        <v>36.64</v>
      </c>
      <c r="L38" s="37">
        <v>2</v>
      </c>
      <c r="M38" s="175" t="s">
        <v>59</v>
      </c>
      <c r="N38" s="99"/>
      <c r="O38" s="100"/>
    </row>
    <row r="39" spans="1:15" ht="15.75" customHeight="1" x14ac:dyDescent="0.2">
      <c r="A39" s="118">
        <v>5</v>
      </c>
      <c r="B39" s="142" t="s">
        <v>60</v>
      </c>
      <c r="C39" s="107"/>
      <c r="D39" s="108"/>
      <c r="E39" s="156" t="s">
        <v>61</v>
      </c>
      <c r="F39" s="107"/>
      <c r="G39" s="107"/>
      <c r="H39" s="108"/>
      <c r="I39" s="32"/>
      <c r="J39" s="38">
        <v>80</v>
      </c>
      <c r="K39" s="158">
        <f>J39+J40+J41+J42</f>
        <v>88</v>
      </c>
      <c r="L39" s="159">
        <f>ROUND((K39/$O$8*100),2)</f>
        <v>4.8</v>
      </c>
      <c r="M39" s="117" t="s">
        <v>62</v>
      </c>
      <c r="N39" s="93"/>
      <c r="O39" s="94"/>
    </row>
    <row r="40" spans="1:15" ht="15.75" customHeight="1" x14ac:dyDescent="0.2">
      <c r="A40" s="115"/>
      <c r="B40" s="113"/>
      <c r="C40" s="93"/>
      <c r="D40" s="94"/>
      <c r="E40" s="117" t="s">
        <v>63</v>
      </c>
      <c r="F40" s="93"/>
      <c r="G40" s="93"/>
      <c r="H40" s="94"/>
      <c r="I40" s="32"/>
      <c r="J40" s="39">
        <f>I40*2</f>
        <v>0</v>
      </c>
      <c r="K40" s="115"/>
      <c r="L40" s="115"/>
      <c r="M40" s="117" t="s">
        <v>64</v>
      </c>
      <c r="N40" s="93"/>
      <c r="O40" s="94"/>
    </row>
    <row r="41" spans="1:15" ht="15.75" customHeight="1" x14ac:dyDescent="0.2">
      <c r="A41" s="115"/>
      <c r="B41" s="113"/>
      <c r="C41" s="93"/>
      <c r="D41" s="94"/>
      <c r="E41" s="117" t="s">
        <v>65</v>
      </c>
      <c r="F41" s="93"/>
      <c r="G41" s="93"/>
      <c r="H41" s="94"/>
      <c r="I41" s="32"/>
      <c r="J41" s="39">
        <v>8</v>
      </c>
      <c r="K41" s="115"/>
      <c r="L41" s="115"/>
      <c r="M41" s="117" t="s">
        <v>66</v>
      </c>
      <c r="N41" s="93"/>
      <c r="O41" s="94"/>
    </row>
    <row r="42" spans="1:15" ht="15.75" customHeight="1" x14ac:dyDescent="0.2">
      <c r="A42" s="97"/>
      <c r="B42" s="109"/>
      <c r="C42" s="102"/>
      <c r="D42" s="103"/>
      <c r="E42" s="153"/>
      <c r="F42" s="102"/>
      <c r="G42" s="102"/>
      <c r="H42" s="103"/>
      <c r="I42" s="40"/>
      <c r="J42" s="40"/>
      <c r="K42" s="97"/>
      <c r="L42" s="97"/>
      <c r="M42" s="141"/>
      <c r="N42" s="102"/>
      <c r="O42" s="103"/>
    </row>
    <row r="43" spans="1:15" ht="15.75" customHeight="1" x14ac:dyDescent="0.2">
      <c r="A43" s="118">
        <v>6</v>
      </c>
      <c r="B43" s="142" t="s">
        <v>67</v>
      </c>
      <c r="C43" s="107"/>
      <c r="D43" s="108"/>
      <c r="E43" s="154" t="s">
        <v>68</v>
      </c>
      <c r="F43" s="107"/>
      <c r="G43" s="107"/>
      <c r="H43" s="108"/>
      <c r="I43" s="13">
        <v>200</v>
      </c>
      <c r="J43" s="118">
        <f>K43</f>
        <v>689.01520000000005</v>
      </c>
      <c r="K43" s="118">
        <f>$O$8*L43/100</f>
        <v>689.01520000000005</v>
      </c>
      <c r="L43" s="169">
        <f>100-L45-L39-L32-L11-L38</f>
        <v>37.61</v>
      </c>
      <c r="M43" s="156" t="s">
        <v>69</v>
      </c>
      <c r="N43" s="107"/>
      <c r="O43" s="108"/>
    </row>
    <row r="44" spans="1:15" ht="15.75" customHeight="1" x14ac:dyDescent="0.2">
      <c r="A44" s="97"/>
      <c r="B44" s="109"/>
      <c r="C44" s="102"/>
      <c r="D44" s="103"/>
      <c r="E44" s="157" t="s">
        <v>70</v>
      </c>
      <c r="F44" s="102"/>
      <c r="G44" s="102"/>
      <c r="H44" s="103"/>
      <c r="I44" s="41">
        <v>65</v>
      </c>
      <c r="J44" s="97"/>
      <c r="K44" s="97"/>
      <c r="L44" s="97"/>
      <c r="M44" s="153" t="s">
        <v>64</v>
      </c>
      <c r="N44" s="102"/>
      <c r="O44" s="103"/>
    </row>
    <row r="45" spans="1:15" ht="30" customHeight="1" x14ac:dyDescent="0.2">
      <c r="A45" s="158">
        <v>7</v>
      </c>
      <c r="B45" s="165" t="s">
        <v>71</v>
      </c>
      <c r="C45" s="93"/>
      <c r="D45" s="94"/>
      <c r="E45" s="111" t="s">
        <v>72</v>
      </c>
      <c r="F45" s="93"/>
      <c r="G45" s="93"/>
      <c r="H45" s="94"/>
      <c r="I45" s="39">
        <v>16</v>
      </c>
      <c r="J45" s="32">
        <f t="shared" ref="J45:J55" si="2">I45</f>
        <v>16</v>
      </c>
      <c r="K45" s="158">
        <f>SUM(I45:I55)</f>
        <v>56</v>
      </c>
      <c r="L45" s="166">
        <f>ROUND((K45/$O$8*100),2)</f>
        <v>3.06</v>
      </c>
      <c r="M45" s="165" t="s">
        <v>73</v>
      </c>
      <c r="N45" s="93"/>
      <c r="O45" s="94"/>
    </row>
    <row r="46" spans="1:15" x14ac:dyDescent="0.2">
      <c r="A46" s="115"/>
      <c r="B46" s="113"/>
      <c r="C46" s="93"/>
      <c r="D46" s="94"/>
      <c r="E46" s="164" t="s">
        <v>74</v>
      </c>
      <c r="F46" s="93"/>
      <c r="G46" s="93"/>
      <c r="H46" s="94"/>
      <c r="I46" s="39">
        <v>4</v>
      </c>
      <c r="J46" s="32">
        <f t="shared" si="2"/>
        <v>4</v>
      </c>
      <c r="K46" s="115"/>
      <c r="L46" s="115"/>
      <c r="M46" s="31"/>
      <c r="N46" s="42"/>
      <c r="O46" s="43"/>
    </row>
    <row r="47" spans="1:15" x14ac:dyDescent="0.2">
      <c r="A47" s="115"/>
      <c r="B47" s="113"/>
      <c r="C47" s="93"/>
      <c r="D47" s="94"/>
      <c r="E47" s="164" t="s">
        <v>75</v>
      </c>
      <c r="F47" s="93"/>
      <c r="G47" s="93"/>
      <c r="H47" s="94"/>
      <c r="I47" s="39">
        <v>4</v>
      </c>
      <c r="J47" s="32">
        <f t="shared" si="2"/>
        <v>4</v>
      </c>
      <c r="K47" s="115"/>
      <c r="L47" s="115"/>
      <c r="M47" s="31"/>
      <c r="N47" s="42"/>
      <c r="O47" s="43"/>
    </row>
    <row r="48" spans="1:15" x14ac:dyDescent="0.2">
      <c r="A48" s="115"/>
      <c r="B48" s="113"/>
      <c r="C48" s="93"/>
      <c r="D48" s="94"/>
      <c r="E48" s="164" t="s">
        <v>76</v>
      </c>
      <c r="F48" s="93"/>
      <c r="G48" s="93"/>
      <c r="H48" s="94"/>
      <c r="I48" s="39">
        <v>4</v>
      </c>
      <c r="J48" s="32">
        <f t="shared" si="2"/>
        <v>4</v>
      </c>
      <c r="K48" s="115"/>
      <c r="L48" s="115"/>
      <c r="M48" s="31"/>
      <c r="N48" s="42"/>
      <c r="O48" s="43"/>
    </row>
    <row r="49" spans="1:15" x14ac:dyDescent="0.2">
      <c r="A49" s="115"/>
      <c r="B49" s="113"/>
      <c r="C49" s="93"/>
      <c r="D49" s="94"/>
      <c r="E49" s="164" t="s">
        <v>77</v>
      </c>
      <c r="F49" s="93"/>
      <c r="G49" s="93"/>
      <c r="H49" s="94"/>
      <c r="I49" s="39">
        <v>4</v>
      </c>
      <c r="J49" s="32">
        <f t="shared" si="2"/>
        <v>4</v>
      </c>
      <c r="K49" s="115"/>
      <c r="L49" s="115"/>
      <c r="M49" s="31"/>
      <c r="N49" s="42"/>
      <c r="O49" s="43"/>
    </row>
    <row r="50" spans="1:15" x14ac:dyDescent="0.2">
      <c r="A50" s="115"/>
      <c r="B50" s="113"/>
      <c r="C50" s="93"/>
      <c r="D50" s="94"/>
      <c r="E50" s="164" t="s">
        <v>78</v>
      </c>
      <c r="F50" s="93"/>
      <c r="G50" s="93"/>
      <c r="H50" s="94"/>
      <c r="I50" s="39">
        <v>4</v>
      </c>
      <c r="J50" s="32">
        <f t="shared" si="2"/>
        <v>4</v>
      </c>
      <c r="K50" s="115"/>
      <c r="L50" s="115"/>
      <c r="M50" s="31"/>
      <c r="N50" s="42"/>
      <c r="O50" s="43"/>
    </row>
    <row r="51" spans="1:15" x14ac:dyDescent="0.2">
      <c r="A51" s="115"/>
      <c r="B51" s="113"/>
      <c r="C51" s="93"/>
      <c r="D51" s="94"/>
      <c r="E51" s="164" t="s">
        <v>79</v>
      </c>
      <c r="F51" s="93"/>
      <c r="G51" s="93"/>
      <c r="H51" s="94"/>
      <c r="I51" s="39">
        <v>4</v>
      </c>
      <c r="J51" s="32">
        <f t="shared" si="2"/>
        <v>4</v>
      </c>
      <c r="K51" s="115"/>
      <c r="L51" s="115"/>
      <c r="M51" s="31"/>
      <c r="N51" s="42"/>
      <c r="O51" s="43"/>
    </row>
    <row r="52" spans="1:15" x14ac:dyDescent="0.2">
      <c r="A52" s="115"/>
      <c r="B52" s="113"/>
      <c r="C52" s="93"/>
      <c r="D52" s="94"/>
      <c r="E52" s="164" t="s">
        <v>80</v>
      </c>
      <c r="F52" s="93"/>
      <c r="G52" s="93"/>
      <c r="H52" s="94"/>
      <c r="I52" s="39">
        <v>4</v>
      </c>
      <c r="J52" s="32">
        <f t="shared" si="2"/>
        <v>4</v>
      </c>
      <c r="K52" s="115"/>
      <c r="L52" s="115"/>
      <c r="M52" s="31"/>
      <c r="N52" s="42"/>
      <c r="O52" s="43"/>
    </row>
    <row r="53" spans="1:15" x14ac:dyDescent="0.2">
      <c r="A53" s="115"/>
      <c r="B53" s="113"/>
      <c r="C53" s="93"/>
      <c r="D53" s="94"/>
      <c r="E53" s="164" t="s">
        <v>81</v>
      </c>
      <c r="F53" s="93"/>
      <c r="G53" s="93"/>
      <c r="H53" s="94"/>
      <c r="I53" s="39">
        <v>4</v>
      </c>
      <c r="J53" s="32">
        <f t="shared" si="2"/>
        <v>4</v>
      </c>
      <c r="K53" s="115"/>
      <c r="L53" s="115"/>
      <c r="M53" s="31"/>
      <c r="N53" s="42"/>
      <c r="O53" s="43"/>
    </row>
    <row r="54" spans="1:15" x14ac:dyDescent="0.2">
      <c r="A54" s="115"/>
      <c r="B54" s="113"/>
      <c r="C54" s="93"/>
      <c r="D54" s="94"/>
      <c r="E54" s="164" t="s">
        <v>82</v>
      </c>
      <c r="F54" s="93"/>
      <c r="G54" s="93"/>
      <c r="H54" s="94"/>
      <c r="I54" s="39">
        <v>4</v>
      </c>
      <c r="J54" s="32">
        <f t="shared" si="2"/>
        <v>4</v>
      </c>
      <c r="K54" s="115"/>
      <c r="L54" s="115"/>
      <c r="M54" s="31"/>
      <c r="N54" s="42"/>
      <c r="O54" s="43"/>
    </row>
    <row r="55" spans="1:15" ht="15.75" customHeight="1" x14ac:dyDescent="0.2">
      <c r="A55" s="97"/>
      <c r="B55" s="109"/>
      <c r="C55" s="102"/>
      <c r="D55" s="103"/>
      <c r="E55" s="153" t="s">
        <v>83</v>
      </c>
      <c r="F55" s="102"/>
      <c r="G55" s="102"/>
      <c r="H55" s="103"/>
      <c r="I55" s="44">
        <v>4</v>
      </c>
      <c r="J55" s="32">
        <f t="shared" si="2"/>
        <v>4</v>
      </c>
      <c r="K55" s="97"/>
      <c r="L55" s="97"/>
      <c r="M55" s="141"/>
      <c r="N55" s="102"/>
      <c r="O55" s="103"/>
    </row>
    <row r="56" spans="1:15" ht="15.75" customHeight="1" x14ac:dyDescent="0.2">
      <c r="A56" s="106" t="s">
        <v>84</v>
      </c>
      <c r="B56" s="107"/>
      <c r="C56" s="107"/>
      <c r="D56" s="108"/>
      <c r="E56" s="110"/>
      <c r="F56" s="107"/>
      <c r="G56" s="107"/>
      <c r="H56" s="107"/>
      <c r="I56" s="45"/>
      <c r="J56" s="45"/>
      <c r="K56" s="160">
        <f t="shared" ref="K56:L56" si="3">K11+K29+K32+K38+K39+K43+K45</f>
        <v>1831.9752000000001</v>
      </c>
      <c r="L56" s="161">
        <f t="shared" si="3"/>
        <v>100</v>
      </c>
      <c r="M56" s="162"/>
      <c r="N56" s="107"/>
      <c r="O56" s="108"/>
    </row>
    <row r="57" spans="1:15" ht="15.75" customHeight="1" x14ac:dyDescent="0.2">
      <c r="A57" s="109"/>
      <c r="B57" s="102"/>
      <c r="C57" s="102"/>
      <c r="D57" s="103"/>
      <c r="E57" s="163"/>
      <c r="F57" s="102"/>
      <c r="G57" s="102"/>
      <c r="H57" s="102"/>
      <c r="I57" s="46"/>
      <c r="J57" s="46"/>
      <c r="K57" s="97"/>
      <c r="L57" s="97"/>
      <c r="M57" s="141"/>
      <c r="N57" s="102"/>
      <c r="O57" s="103"/>
    </row>
    <row r="58" spans="1:15" ht="15.75" customHeight="1" x14ac:dyDescent="0.2">
      <c r="A58" s="47"/>
      <c r="B58" s="167"/>
      <c r="C58" s="93"/>
      <c r="D58" s="93"/>
      <c r="E58" s="167"/>
      <c r="F58" s="93"/>
      <c r="G58" s="93"/>
      <c r="H58" s="93"/>
      <c r="I58" s="2"/>
      <c r="J58" s="2"/>
      <c r="K58" s="3"/>
      <c r="L58" s="3"/>
      <c r="M58" s="167"/>
      <c r="N58" s="93"/>
      <c r="O58" s="93"/>
    </row>
    <row r="59" spans="1:15" ht="15.75" customHeight="1" x14ac:dyDescent="0.2">
      <c r="A59" s="47"/>
      <c r="B59" s="168"/>
      <c r="C59" s="93"/>
      <c r="D59" s="93"/>
      <c r="E59" s="167"/>
      <c r="F59" s="93"/>
      <c r="G59" s="93"/>
      <c r="H59" s="93"/>
      <c r="I59" s="2"/>
      <c r="J59" s="2"/>
      <c r="K59" s="3"/>
      <c r="L59" s="3"/>
      <c r="M59" s="167"/>
      <c r="N59" s="93"/>
      <c r="O59" s="93"/>
    </row>
    <row r="60" spans="1:15" ht="15.75" customHeight="1" x14ac:dyDescent="0.2">
      <c r="A60" s="47"/>
      <c r="B60" s="168"/>
      <c r="C60" s="93"/>
      <c r="D60" s="93"/>
      <c r="E60" s="167"/>
      <c r="F60" s="93"/>
      <c r="G60" s="93"/>
      <c r="H60" s="93"/>
      <c r="I60" s="2"/>
      <c r="J60" s="2"/>
      <c r="K60" s="3"/>
      <c r="L60" s="3"/>
      <c r="M60" s="167"/>
      <c r="N60" s="93"/>
      <c r="O60" s="93"/>
    </row>
    <row r="61" spans="1:15" ht="15.75" customHeight="1" x14ac:dyDescent="0.2">
      <c r="A61" s="47"/>
      <c r="B61" s="167"/>
      <c r="C61" s="93"/>
      <c r="D61" s="93"/>
      <c r="E61" s="167"/>
      <c r="F61" s="93"/>
      <c r="G61" s="93"/>
      <c r="H61" s="93"/>
      <c r="I61" s="2"/>
      <c r="J61" s="2"/>
      <c r="K61" s="3"/>
      <c r="L61" s="3"/>
      <c r="M61" s="167"/>
      <c r="N61" s="93"/>
      <c r="O61" s="93"/>
    </row>
    <row r="62" spans="1:15" ht="15.75" customHeight="1" x14ac:dyDescent="0.2">
      <c r="A62" s="47"/>
      <c r="B62" s="167"/>
      <c r="C62" s="93"/>
      <c r="D62" s="93"/>
      <c r="E62" s="167"/>
      <c r="F62" s="93"/>
      <c r="G62" s="93"/>
      <c r="H62" s="93"/>
      <c r="I62" s="2"/>
      <c r="J62" s="2"/>
      <c r="K62" s="3"/>
      <c r="L62" s="3"/>
      <c r="M62" s="167"/>
      <c r="N62" s="93"/>
      <c r="O62" s="93"/>
    </row>
    <row r="63" spans="1:15" ht="15.75" customHeight="1" x14ac:dyDescent="0.2">
      <c r="A63" s="47"/>
      <c r="B63" s="167"/>
      <c r="C63" s="93"/>
      <c r="D63" s="93"/>
      <c r="E63" s="167"/>
      <c r="F63" s="93"/>
      <c r="G63" s="93"/>
      <c r="H63" s="93"/>
      <c r="I63" s="2"/>
      <c r="J63" s="2"/>
      <c r="K63" s="3"/>
      <c r="L63" s="3"/>
      <c r="M63" s="167"/>
      <c r="N63" s="93"/>
      <c r="O63" s="93"/>
    </row>
    <row r="64" spans="1:15" ht="15.75" customHeight="1" x14ac:dyDescent="0.2">
      <c r="A64" s="47"/>
      <c r="B64" s="167"/>
      <c r="C64" s="93"/>
      <c r="D64" s="93"/>
      <c r="E64" s="167"/>
      <c r="F64" s="93"/>
      <c r="G64" s="93"/>
      <c r="H64" s="93"/>
      <c r="I64" s="2"/>
      <c r="J64" s="2"/>
      <c r="K64" s="3"/>
      <c r="L64" s="3"/>
      <c r="M64" s="167"/>
      <c r="N64" s="93"/>
      <c r="O64" s="93"/>
    </row>
    <row r="65" spans="1:15" ht="15.75" customHeight="1" x14ac:dyDescent="0.2">
      <c r="A65" s="47"/>
      <c r="B65" s="167"/>
      <c r="C65" s="93"/>
      <c r="D65" s="93"/>
      <c r="E65" s="167"/>
      <c r="F65" s="93"/>
      <c r="G65" s="93"/>
      <c r="H65" s="93"/>
      <c r="I65" s="2"/>
      <c r="J65" s="2"/>
      <c r="K65" s="3"/>
      <c r="L65" s="3"/>
      <c r="M65" s="167"/>
      <c r="N65" s="93"/>
      <c r="O65" s="93"/>
    </row>
    <row r="66" spans="1:15" ht="15.75" customHeight="1" x14ac:dyDescent="0.2">
      <c r="A66" s="47"/>
      <c r="B66" s="167"/>
      <c r="C66" s="93"/>
      <c r="D66" s="93"/>
      <c r="E66" s="167"/>
      <c r="F66" s="93"/>
      <c r="G66" s="93"/>
      <c r="H66" s="93"/>
      <c r="I66" s="2"/>
      <c r="J66" s="2"/>
      <c r="K66" s="3"/>
      <c r="L66" s="3"/>
      <c r="M66" s="167"/>
      <c r="N66" s="93"/>
      <c r="O66" s="93"/>
    </row>
    <row r="67" spans="1:15" ht="15.75" customHeight="1" x14ac:dyDescent="0.2">
      <c r="A67" s="47"/>
      <c r="B67" s="167"/>
      <c r="C67" s="93"/>
      <c r="D67" s="93"/>
      <c r="E67" s="167"/>
      <c r="F67" s="93"/>
      <c r="G67" s="93"/>
      <c r="H67" s="93"/>
      <c r="I67" s="2"/>
      <c r="J67" s="2"/>
      <c r="K67" s="3"/>
      <c r="L67" s="3"/>
      <c r="M67" s="167"/>
      <c r="N67" s="93"/>
      <c r="O67" s="93"/>
    </row>
    <row r="68" spans="1:15" ht="15.75" customHeight="1" x14ac:dyDescent="0.2">
      <c r="A68" s="47"/>
      <c r="B68" s="167"/>
      <c r="C68" s="93"/>
      <c r="D68" s="93"/>
      <c r="E68" s="167"/>
      <c r="F68" s="93"/>
      <c r="G68" s="93"/>
      <c r="H68" s="93"/>
      <c r="I68" s="2"/>
      <c r="J68" s="2"/>
      <c r="K68" s="3"/>
      <c r="L68" s="3"/>
      <c r="M68" s="167"/>
      <c r="N68" s="93"/>
      <c r="O68" s="93"/>
    </row>
    <row r="69" spans="1:15" ht="15.75" customHeight="1" x14ac:dyDescent="0.2">
      <c r="A69" s="47"/>
      <c r="B69" s="167"/>
      <c r="C69" s="93"/>
      <c r="D69" s="93"/>
      <c r="E69" s="167"/>
      <c r="F69" s="93"/>
      <c r="G69" s="93"/>
      <c r="H69" s="93"/>
      <c r="I69" s="2"/>
      <c r="J69" s="2"/>
      <c r="K69" s="3"/>
      <c r="L69" s="3"/>
      <c r="M69" s="167"/>
      <c r="N69" s="93"/>
      <c r="O69" s="93"/>
    </row>
    <row r="70" spans="1:15" ht="15.75" customHeight="1" x14ac:dyDescent="0.2">
      <c r="A70" s="47"/>
      <c r="B70" s="167"/>
      <c r="C70" s="93"/>
      <c r="D70" s="93"/>
      <c r="E70" s="167"/>
      <c r="F70" s="93"/>
      <c r="G70" s="93"/>
      <c r="H70" s="93"/>
      <c r="I70" s="2"/>
      <c r="J70" s="2"/>
      <c r="K70" s="3"/>
      <c r="L70" s="3"/>
      <c r="M70" s="167"/>
      <c r="N70" s="93"/>
      <c r="O70" s="93"/>
    </row>
    <row r="71" spans="1:15" ht="15.75" customHeight="1" x14ac:dyDescent="0.2">
      <c r="A71" s="47"/>
      <c r="B71" s="167"/>
      <c r="C71" s="93"/>
      <c r="D71" s="93"/>
      <c r="E71" s="167"/>
      <c r="F71" s="93"/>
      <c r="G71" s="93"/>
      <c r="H71" s="93"/>
      <c r="I71" s="2"/>
      <c r="J71" s="2"/>
      <c r="K71" s="3"/>
      <c r="L71" s="3"/>
      <c r="M71" s="167"/>
      <c r="N71" s="93"/>
      <c r="O71" s="93"/>
    </row>
    <row r="72" spans="1:15" ht="15.75" customHeight="1" x14ac:dyDescent="0.2">
      <c r="A72" s="47"/>
      <c r="B72" s="167"/>
      <c r="C72" s="93"/>
      <c r="D72" s="93"/>
      <c r="E72" s="167"/>
      <c r="F72" s="93"/>
      <c r="G72" s="93"/>
      <c r="H72" s="93"/>
      <c r="I72" s="2"/>
      <c r="J72" s="2"/>
      <c r="K72" s="3"/>
      <c r="L72" s="3"/>
      <c r="M72" s="167"/>
      <c r="N72" s="93"/>
      <c r="O72" s="93"/>
    </row>
    <row r="73" spans="1:15" ht="15.75" customHeight="1" x14ac:dyDescent="0.2">
      <c r="A73" s="47"/>
      <c r="B73" s="167"/>
      <c r="C73" s="93"/>
      <c r="D73" s="93"/>
      <c r="E73" s="167"/>
      <c r="F73" s="93"/>
      <c r="G73" s="93"/>
      <c r="H73" s="93"/>
      <c r="I73" s="2"/>
      <c r="J73" s="2"/>
      <c r="K73" s="3"/>
      <c r="L73" s="3"/>
      <c r="M73" s="167"/>
      <c r="N73" s="93"/>
      <c r="O73" s="93"/>
    </row>
    <row r="74" spans="1:15" ht="15.75" customHeight="1" x14ac:dyDescent="0.2">
      <c r="A74" s="47"/>
      <c r="B74" s="167"/>
      <c r="C74" s="93"/>
      <c r="D74" s="93"/>
      <c r="E74" s="167"/>
      <c r="F74" s="93"/>
      <c r="G74" s="93"/>
      <c r="H74" s="93"/>
      <c r="I74" s="2"/>
      <c r="J74" s="2"/>
      <c r="K74" s="3"/>
      <c r="L74" s="3"/>
      <c r="M74" s="167"/>
      <c r="N74" s="93"/>
      <c r="O74" s="93"/>
    </row>
    <row r="75" spans="1:15" ht="15.75" customHeight="1" x14ac:dyDescent="0.2">
      <c r="A75" s="47"/>
      <c r="B75" s="167"/>
      <c r="C75" s="93"/>
      <c r="D75" s="93"/>
      <c r="E75" s="167"/>
      <c r="F75" s="93"/>
      <c r="G75" s="93"/>
      <c r="H75" s="93"/>
      <c r="I75" s="2"/>
      <c r="J75" s="2"/>
      <c r="K75" s="3"/>
      <c r="L75" s="3"/>
      <c r="M75" s="167"/>
      <c r="N75" s="93"/>
      <c r="O75" s="93"/>
    </row>
    <row r="76" spans="1:15" ht="15.75" customHeight="1" x14ac:dyDescent="0.2">
      <c r="A76" s="47"/>
      <c r="B76" s="167"/>
      <c r="C76" s="93"/>
      <c r="D76" s="93"/>
      <c r="E76" s="167"/>
      <c r="F76" s="93"/>
      <c r="G76" s="93"/>
      <c r="H76" s="93"/>
      <c r="I76" s="2"/>
      <c r="J76" s="2"/>
      <c r="K76" s="3"/>
      <c r="L76" s="3"/>
      <c r="M76" s="167"/>
      <c r="N76" s="93"/>
      <c r="O76" s="93"/>
    </row>
    <row r="77" spans="1:15" ht="15.75" customHeight="1" x14ac:dyDescent="0.2">
      <c r="A77" s="47"/>
      <c r="B77" s="167"/>
      <c r="C77" s="93"/>
      <c r="D77" s="93"/>
      <c r="E77" s="167"/>
      <c r="F77" s="93"/>
      <c r="G77" s="93"/>
      <c r="H77" s="93"/>
      <c r="I77" s="2"/>
      <c r="J77" s="2"/>
      <c r="K77" s="3"/>
      <c r="L77" s="3"/>
      <c r="M77" s="167"/>
      <c r="N77" s="93"/>
      <c r="O77" s="93"/>
    </row>
    <row r="78" spans="1:15" ht="15.75" customHeight="1" x14ac:dyDescent="0.2">
      <c r="A78" s="47"/>
      <c r="B78" s="167"/>
      <c r="C78" s="93"/>
      <c r="D78" s="93"/>
      <c r="E78" s="167"/>
      <c r="F78" s="93"/>
      <c r="G78" s="93"/>
      <c r="H78" s="93"/>
      <c r="I78" s="2"/>
      <c r="J78" s="2"/>
      <c r="K78" s="3"/>
      <c r="L78" s="3"/>
      <c r="M78" s="167"/>
      <c r="N78" s="93"/>
      <c r="O78" s="93"/>
    </row>
    <row r="79" spans="1:15" ht="15.75" customHeight="1" x14ac:dyDescent="0.2">
      <c r="A79" s="47"/>
      <c r="B79" s="167"/>
      <c r="C79" s="93"/>
      <c r="D79" s="93"/>
      <c r="E79" s="167"/>
      <c r="F79" s="93"/>
      <c r="G79" s="93"/>
      <c r="H79" s="93"/>
      <c r="I79" s="2"/>
      <c r="J79" s="2"/>
      <c r="K79" s="3"/>
      <c r="L79" s="3"/>
      <c r="M79" s="167"/>
      <c r="N79" s="93"/>
      <c r="O79" s="93"/>
    </row>
    <row r="80" spans="1:15" ht="15.75" customHeight="1" x14ac:dyDescent="0.2">
      <c r="A80" s="47"/>
      <c r="B80" s="167"/>
      <c r="C80" s="93"/>
      <c r="D80" s="93"/>
      <c r="E80" s="167"/>
      <c r="F80" s="93"/>
      <c r="G80" s="93"/>
      <c r="H80" s="93"/>
      <c r="I80" s="2"/>
      <c r="J80" s="2"/>
      <c r="K80" s="3"/>
      <c r="L80" s="3"/>
      <c r="M80" s="167"/>
      <c r="N80" s="93"/>
      <c r="O80" s="93"/>
    </row>
    <row r="81" spans="1:15" ht="15.75" customHeight="1" x14ac:dyDescent="0.2">
      <c r="A81" s="47"/>
      <c r="B81" s="167"/>
      <c r="C81" s="93"/>
      <c r="D81" s="93"/>
      <c r="E81" s="167"/>
      <c r="F81" s="93"/>
      <c r="G81" s="93"/>
      <c r="H81" s="93"/>
      <c r="I81" s="2"/>
      <c r="J81" s="2"/>
      <c r="K81" s="3"/>
      <c r="L81" s="3"/>
      <c r="M81" s="167"/>
      <c r="N81" s="93"/>
      <c r="O81" s="93"/>
    </row>
    <row r="82" spans="1:15" ht="15.75" customHeight="1" x14ac:dyDescent="0.2">
      <c r="A82" s="47"/>
      <c r="B82" s="167"/>
      <c r="C82" s="93"/>
      <c r="D82" s="93"/>
      <c r="E82" s="167"/>
      <c r="F82" s="93"/>
      <c r="G82" s="93"/>
      <c r="H82" s="93"/>
      <c r="I82" s="2"/>
      <c r="J82" s="2"/>
      <c r="K82" s="3"/>
      <c r="L82" s="3"/>
      <c r="M82" s="167"/>
      <c r="N82" s="93"/>
      <c r="O82" s="93"/>
    </row>
    <row r="83" spans="1:15" ht="15.75" customHeight="1" x14ac:dyDescent="0.2">
      <c r="A83" s="48"/>
      <c r="B83" s="167"/>
      <c r="C83" s="93"/>
      <c r="D83" s="93"/>
      <c r="E83" s="167"/>
      <c r="F83" s="93"/>
      <c r="G83" s="93"/>
      <c r="H83" s="93"/>
      <c r="I83" s="2"/>
      <c r="J83" s="2"/>
      <c r="K83" s="3"/>
      <c r="L83" s="3"/>
      <c r="M83" s="167"/>
      <c r="N83" s="93"/>
      <c r="O83" s="94"/>
    </row>
    <row r="84" spans="1:15" ht="15.75" customHeight="1" x14ac:dyDescent="0.2">
      <c r="A84" s="48"/>
      <c r="B84" s="167"/>
      <c r="C84" s="93"/>
      <c r="D84" s="93"/>
      <c r="E84" s="167"/>
      <c r="F84" s="93"/>
      <c r="G84" s="93"/>
      <c r="H84" s="93"/>
      <c r="I84" s="2"/>
      <c r="J84" s="2"/>
      <c r="K84" s="3"/>
      <c r="L84" s="3"/>
      <c r="M84" s="167"/>
      <c r="N84" s="93"/>
      <c r="O84" s="94"/>
    </row>
    <row r="85" spans="1:15" ht="15.75" customHeight="1" x14ac:dyDescent="0.2">
      <c r="A85" s="48"/>
      <c r="B85" s="167"/>
      <c r="C85" s="93"/>
      <c r="D85" s="93"/>
      <c r="E85" s="167"/>
      <c r="F85" s="93"/>
      <c r="G85" s="93"/>
      <c r="H85" s="93"/>
      <c r="I85" s="2"/>
      <c r="J85" s="2"/>
      <c r="K85" s="3"/>
      <c r="L85" s="3"/>
      <c r="M85" s="167"/>
      <c r="N85" s="93"/>
      <c r="O85" s="94"/>
    </row>
    <row r="86" spans="1:15" ht="15.75" customHeight="1" x14ac:dyDescent="0.2">
      <c r="A86" s="48"/>
      <c r="B86" s="167"/>
      <c r="C86" s="93"/>
      <c r="D86" s="93"/>
      <c r="E86" s="167"/>
      <c r="F86" s="93"/>
      <c r="G86" s="93"/>
      <c r="H86" s="93"/>
      <c r="I86" s="2"/>
      <c r="J86" s="2"/>
      <c r="K86" s="3"/>
      <c r="L86" s="3"/>
      <c r="M86" s="167"/>
      <c r="N86" s="93"/>
      <c r="O86" s="94"/>
    </row>
    <row r="87" spans="1:15" ht="15.75" customHeight="1" x14ac:dyDescent="0.2">
      <c r="A87" s="48"/>
      <c r="B87" s="167"/>
      <c r="C87" s="93"/>
      <c r="D87" s="93"/>
      <c r="E87" s="167"/>
      <c r="F87" s="93"/>
      <c r="G87" s="93"/>
      <c r="H87" s="93"/>
      <c r="I87" s="2"/>
      <c r="J87" s="2"/>
      <c r="K87" s="3"/>
      <c r="L87" s="3"/>
      <c r="M87" s="167"/>
      <c r="N87" s="93"/>
      <c r="O87" s="94"/>
    </row>
    <row r="88" spans="1:15" ht="15.75" customHeight="1" x14ac:dyDescent="0.2">
      <c r="A88" s="48"/>
      <c r="B88" s="167"/>
      <c r="C88" s="93"/>
      <c r="D88" s="93"/>
      <c r="E88" s="167"/>
      <c r="F88" s="93"/>
      <c r="G88" s="93"/>
      <c r="H88" s="93"/>
      <c r="I88" s="2"/>
      <c r="J88" s="2"/>
      <c r="K88" s="3"/>
      <c r="L88" s="3"/>
      <c r="M88" s="167"/>
      <c r="N88" s="93"/>
      <c r="O88" s="94"/>
    </row>
    <row r="89" spans="1:15" ht="15.75" customHeight="1" x14ac:dyDescent="0.2">
      <c r="A89" s="48"/>
      <c r="B89" s="167"/>
      <c r="C89" s="93"/>
      <c r="D89" s="93"/>
      <c r="E89" s="167"/>
      <c r="F89" s="93"/>
      <c r="G89" s="93"/>
      <c r="H89" s="93"/>
      <c r="I89" s="2"/>
      <c r="J89" s="2"/>
      <c r="K89" s="3"/>
      <c r="L89" s="3"/>
      <c r="M89" s="167"/>
      <c r="N89" s="93"/>
      <c r="O89" s="94"/>
    </row>
    <row r="90" spans="1:15" ht="15.75" customHeight="1" x14ac:dyDescent="0.2">
      <c r="A90" s="48"/>
      <c r="B90" s="167"/>
      <c r="C90" s="93"/>
      <c r="D90" s="93"/>
      <c r="E90" s="167"/>
      <c r="F90" s="93"/>
      <c r="G90" s="93"/>
      <c r="H90" s="93"/>
      <c r="I90" s="2"/>
      <c r="J90" s="2"/>
      <c r="K90" s="3"/>
      <c r="L90" s="3"/>
      <c r="M90" s="167"/>
      <c r="N90" s="93"/>
      <c r="O90" s="94"/>
    </row>
    <row r="91" spans="1:15" ht="15.75" customHeight="1" x14ac:dyDescent="0.2">
      <c r="A91" s="48"/>
      <c r="B91" s="167"/>
      <c r="C91" s="93"/>
      <c r="D91" s="93"/>
      <c r="E91" s="167"/>
      <c r="F91" s="93"/>
      <c r="G91" s="93"/>
      <c r="H91" s="93"/>
      <c r="I91" s="2"/>
      <c r="J91" s="2"/>
      <c r="K91" s="3"/>
      <c r="L91" s="3"/>
      <c r="M91" s="167"/>
      <c r="N91" s="93"/>
      <c r="O91" s="94"/>
    </row>
    <row r="92" spans="1:15" ht="15.75" customHeight="1" x14ac:dyDescent="0.2">
      <c r="A92" s="48"/>
      <c r="B92" s="167"/>
      <c r="C92" s="93"/>
      <c r="D92" s="93"/>
      <c r="E92" s="167"/>
      <c r="F92" s="93"/>
      <c r="G92" s="93"/>
      <c r="H92" s="93"/>
      <c r="I92" s="2"/>
      <c r="J92" s="2"/>
      <c r="K92" s="3"/>
      <c r="L92" s="3"/>
      <c r="M92" s="167"/>
      <c r="N92" s="93"/>
      <c r="O92" s="94"/>
    </row>
    <row r="93" spans="1:15" ht="15.75" customHeight="1" x14ac:dyDescent="0.2">
      <c r="A93" s="48"/>
      <c r="B93" s="167"/>
      <c r="C93" s="93"/>
      <c r="D93" s="93"/>
      <c r="E93" s="167"/>
      <c r="F93" s="93"/>
      <c r="G93" s="93"/>
      <c r="H93" s="93"/>
      <c r="I93" s="2"/>
      <c r="J93" s="2"/>
      <c r="K93" s="3"/>
      <c r="L93" s="3"/>
      <c r="M93" s="167"/>
      <c r="N93" s="93"/>
      <c r="O93" s="94"/>
    </row>
    <row r="94" spans="1:15" ht="15.75" customHeight="1" x14ac:dyDescent="0.2">
      <c r="A94" s="48"/>
      <c r="B94" s="167"/>
      <c r="C94" s="93"/>
      <c r="D94" s="93"/>
      <c r="E94" s="167"/>
      <c r="F94" s="93"/>
      <c r="G94" s="93"/>
      <c r="H94" s="93"/>
      <c r="I94" s="2"/>
      <c r="J94" s="2"/>
      <c r="K94" s="3"/>
      <c r="L94" s="3"/>
      <c r="M94" s="167"/>
      <c r="N94" s="93"/>
      <c r="O94" s="94"/>
    </row>
    <row r="95" spans="1:15" ht="15.75" customHeight="1" x14ac:dyDescent="0.2">
      <c r="A95" s="48"/>
      <c r="B95" s="167"/>
      <c r="C95" s="93"/>
      <c r="D95" s="93"/>
      <c r="E95" s="167"/>
      <c r="F95" s="93"/>
      <c r="G95" s="93"/>
      <c r="H95" s="93"/>
      <c r="I95" s="2"/>
      <c r="J95" s="2"/>
      <c r="K95" s="3"/>
      <c r="L95" s="3"/>
      <c r="M95" s="167"/>
      <c r="N95" s="93"/>
      <c r="O95" s="94"/>
    </row>
    <row r="96" spans="1:15" ht="15.75" customHeight="1" x14ac:dyDescent="0.2">
      <c r="A96" s="48"/>
      <c r="B96" s="167"/>
      <c r="C96" s="93"/>
      <c r="D96" s="93"/>
      <c r="E96" s="167"/>
      <c r="F96" s="93"/>
      <c r="G96" s="93"/>
      <c r="H96" s="93"/>
      <c r="I96" s="2"/>
      <c r="J96" s="2"/>
      <c r="K96" s="3"/>
      <c r="L96" s="3"/>
      <c r="M96" s="167"/>
      <c r="N96" s="93"/>
      <c r="O96" s="94"/>
    </row>
    <row r="97" spans="1:15" ht="15.75" customHeight="1" x14ac:dyDescent="0.2">
      <c r="A97" s="48"/>
      <c r="B97" s="167"/>
      <c r="C97" s="93"/>
      <c r="D97" s="93"/>
      <c r="E97" s="167"/>
      <c r="F97" s="93"/>
      <c r="G97" s="93"/>
      <c r="H97" s="93"/>
      <c r="I97" s="2"/>
      <c r="J97" s="2"/>
      <c r="K97" s="3"/>
      <c r="L97" s="3"/>
      <c r="M97" s="167"/>
      <c r="N97" s="93"/>
      <c r="O97" s="94"/>
    </row>
    <row r="98" spans="1:15" ht="15.75" customHeight="1" x14ac:dyDescent="0.2">
      <c r="A98" s="48"/>
      <c r="B98" s="167"/>
      <c r="C98" s="93"/>
      <c r="D98" s="93"/>
      <c r="E98" s="167"/>
      <c r="F98" s="93"/>
      <c r="G98" s="93"/>
      <c r="H98" s="93"/>
      <c r="I98" s="2"/>
      <c r="J98" s="2"/>
      <c r="K98" s="3"/>
      <c r="L98" s="3"/>
      <c r="M98" s="167"/>
      <c r="N98" s="93"/>
      <c r="O98" s="94"/>
    </row>
    <row r="99" spans="1:15" ht="15.75" customHeight="1" x14ac:dyDescent="0.2">
      <c r="A99" s="48"/>
      <c r="B99" s="167"/>
      <c r="C99" s="93"/>
      <c r="D99" s="93"/>
      <c r="E99" s="167"/>
      <c r="F99" s="93"/>
      <c r="G99" s="93"/>
      <c r="H99" s="93"/>
      <c r="I99" s="2"/>
      <c r="J99" s="2"/>
      <c r="K99" s="3"/>
      <c r="L99" s="3"/>
      <c r="M99" s="167"/>
      <c r="N99" s="93"/>
      <c r="O99" s="94"/>
    </row>
    <row r="100" spans="1:15" ht="15.75" customHeight="1" x14ac:dyDescent="0.2">
      <c r="A100" s="48"/>
      <c r="B100" s="167"/>
      <c r="C100" s="93"/>
      <c r="D100" s="93"/>
      <c r="E100" s="167"/>
      <c r="F100" s="93"/>
      <c r="G100" s="93"/>
      <c r="H100" s="93"/>
      <c r="I100" s="2"/>
      <c r="J100" s="2"/>
      <c r="K100" s="3"/>
      <c r="L100" s="3"/>
      <c r="M100" s="167"/>
      <c r="N100" s="93"/>
      <c r="O100" s="94"/>
    </row>
    <row r="101" spans="1:15" ht="15.75" customHeight="1" x14ac:dyDescent="0.2">
      <c r="A101" s="48"/>
      <c r="B101" s="167"/>
      <c r="C101" s="93"/>
      <c r="D101" s="93"/>
      <c r="E101" s="167"/>
      <c r="F101" s="93"/>
      <c r="G101" s="93"/>
      <c r="H101" s="93"/>
      <c r="I101" s="2"/>
      <c r="J101" s="2"/>
      <c r="K101" s="3"/>
      <c r="L101" s="3"/>
      <c r="M101" s="167"/>
      <c r="N101" s="93"/>
      <c r="O101" s="94"/>
    </row>
    <row r="102" spans="1:15" ht="15.75" customHeight="1" x14ac:dyDescent="0.2">
      <c r="A102" s="48"/>
      <c r="B102" s="167"/>
      <c r="C102" s="93"/>
      <c r="D102" s="93"/>
      <c r="E102" s="167"/>
      <c r="F102" s="93"/>
      <c r="G102" s="93"/>
      <c r="H102" s="93"/>
      <c r="I102" s="2"/>
      <c r="J102" s="2"/>
      <c r="K102" s="3"/>
      <c r="L102" s="3"/>
      <c r="M102" s="167"/>
      <c r="N102" s="93"/>
      <c r="O102" s="94"/>
    </row>
    <row r="103" spans="1:15" ht="15.75" customHeight="1" x14ac:dyDescent="0.2">
      <c r="A103" s="48"/>
      <c r="B103" s="167"/>
      <c r="C103" s="93"/>
      <c r="D103" s="93"/>
      <c r="E103" s="167"/>
      <c r="F103" s="93"/>
      <c r="G103" s="93"/>
      <c r="H103" s="93"/>
      <c r="I103" s="2"/>
      <c r="J103" s="2"/>
      <c r="K103" s="3"/>
      <c r="L103" s="3"/>
      <c r="M103" s="167"/>
      <c r="N103" s="93"/>
      <c r="O103" s="94"/>
    </row>
    <row r="104" spans="1:15" ht="15.75" customHeight="1" x14ac:dyDescent="0.2">
      <c r="A104" s="48"/>
      <c r="B104" s="167"/>
      <c r="C104" s="93"/>
      <c r="D104" s="93"/>
      <c r="E104" s="167"/>
      <c r="F104" s="93"/>
      <c r="G104" s="93"/>
      <c r="H104" s="93"/>
      <c r="I104" s="2"/>
      <c r="J104" s="2"/>
      <c r="K104" s="3"/>
      <c r="L104" s="3"/>
      <c r="M104" s="167"/>
      <c r="N104" s="93"/>
      <c r="O104" s="94"/>
    </row>
    <row r="105" spans="1:15" ht="15.75" customHeight="1" x14ac:dyDescent="0.2">
      <c r="A105" s="48"/>
      <c r="B105" s="167"/>
      <c r="C105" s="93"/>
      <c r="D105" s="93"/>
      <c r="E105" s="167"/>
      <c r="F105" s="93"/>
      <c r="G105" s="93"/>
      <c r="H105" s="93"/>
      <c r="I105" s="2"/>
      <c r="J105" s="2"/>
      <c r="K105" s="3"/>
      <c r="L105" s="3"/>
      <c r="M105" s="167"/>
      <c r="N105" s="93"/>
      <c r="O105" s="94"/>
    </row>
    <row r="106" spans="1:15" ht="15.75" customHeight="1" x14ac:dyDescent="0.2">
      <c r="A106" s="48"/>
      <c r="B106" s="167"/>
      <c r="C106" s="93"/>
      <c r="D106" s="93"/>
      <c r="E106" s="167"/>
      <c r="F106" s="93"/>
      <c r="G106" s="93"/>
      <c r="H106" s="93"/>
      <c r="I106" s="2"/>
      <c r="J106" s="2"/>
      <c r="K106" s="3"/>
      <c r="L106" s="3"/>
      <c r="M106" s="167"/>
      <c r="N106" s="93"/>
      <c r="O106" s="94"/>
    </row>
    <row r="107" spans="1:15" ht="15.75" customHeight="1" x14ac:dyDescent="0.2">
      <c r="A107" s="48"/>
      <c r="B107" s="167"/>
      <c r="C107" s="93"/>
      <c r="D107" s="93"/>
      <c r="E107" s="167"/>
      <c r="F107" s="93"/>
      <c r="G107" s="93"/>
      <c r="H107" s="93"/>
      <c r="I107" s="2"/>
      <c r="J107" s="2"/>
      <c r="K107" s="3"/>
      <c r="L107" s="3"/>
      <c r="M107" s="167"/>
      <c r="N107" s="93"/>
      <c r="O107" s="94"/>
    </row>
    <row r="108" spans="1:15" ht="15.75" customHeight="1" x14ac:dyDescent="0.2">
      <c r="A108" s="48"/>
      <c r="B108" s="167"/>
      <c r="C108" s="93"/>
      <c r="D108" s="93"/>
      <c r="E108" s="167"/>
      <c r="F108" s="93"/>
      <c r="G108" s="93"/>
      <c r="H108" s="93"/>
      <c r="I108" s="2"/>
      <c r="J108" s="2"/>
      <c r="K108" s="3"/>
      <c r="L108" s="3"/>
      <c r="M108" s="167"/>
      <c r="N108" s="93"/>
      <c r="O108" s="94"/>
    </row>
    <row r="109" spans="1:15" ht="15.75" customHeight="1" x14ac:dyDescent="0.2">
      <c r="A109" s="48"/>
      <c r="B109" s="167"/>
      <c r="C109" s="93"/>
      <c r="D109" s="93"/>
      <c r="E109" s="167"/>
      <c r="F109" s="93"/>
      <c r="G109" s="93"/>
      <c r="H109" s="93"/>
      <c r="I109" s="2"/>
      <c r="J109" s="2"/>
      <c r="K109" s="3"/>
      <c r="L109" s="3"/>
      <c r="M109" s="167"/>
      <c r="N109" s="93"/>
      <c r="O109" s="94"/>
    </row>
    <row r="110" spans="1:15" ht="15.75" customHeight="1" x14ac:dyDescent="0.2">
      <c r="A110" s="48"/>
      <c r="B110" s="167"/>
      <c r="C110" s="93"/>
      <c r="D110" s="93"/>
      <c r="E110" s="167"/>
      <c r="F110" s="93"/>
      <c r="G110" s="93"/>
      <c r="H110" s="93"/>
      <c r="I110" s="2"/>
      <c r="J110" s="2"/>
      <c r="K110" s="3"/>
      <c r="L110" s="3"/>
      <c r="M110" s="167"/>
      <c r="N110" s="93"/>
      <c r="O110" s="94"/>
    </row>
    <row r="111" spans="1:15" ht="15.75" customHeight="1" x14ac:dyDescent="0.2">
      <c r="A111" s="48"/>
      <c r="B111" s="167"/>
      <c r="C111" s="93"/>
      <c r="D111" s="93"/>
      <c r="E111" s="167"/>
      <c r="F111" s="93"/>
      <c r="G111" s="93"/>
      <c r="H111" s="93"/>
      <c r="I111" s="2"/>
      <c r="J111" s="2"/>
      <c r="K111" s="3"/>
      <c r="L111" s="3"/>
      <c r="M111" s="167"/>
      <c r="N111" s="93"/>
      <c r="O111" s="94"/>
    </row>
    <row r="112" spans="1:15" ht="15.75" customHeight="1" x14ac:dyDescent="0.2">
      <c r="A112" s="48"/>
      <c r="B112" s="167"/>
      <c r="C112" s="93"/>
      <c r="D112" s="93"/>
      <c r="E112" s="167"/>
      <c r="F112" s="93"/>
      <c r="G112" s="93"/>
      <c r="H112" s="93"/>
      <c r="I112" s="2"/>
      <c r="J112" s="2"/>
      <c r="K112" s="3"/>
      <c r="L112" s="3"/>
      <c r="M112" s="167"/>
      <c r="N112" s="93"/>
      <c r="O112" s="94"/>
    </row>
    <row r="113" spans="1:15" ht="15.75" customHeight="1" x14ac:dyDescent="0.2">
      <c r="A113" s="48"/>
      <c r="B113" s="167"/>
      <c r="C113" s="93"/>
      <c r="D113" s="93"/>
      <c r="E113" s="167"/>
      <c r="F113" s="93"/>
      <c r="G113" s="93"/>
      <c r="H113" s="93"/>
      <c r="I113" s="2"/>
      <c r="J113" s="2"/>
      <c r="K113" s="3"/>
      <c r="L113" s="3"/>
      <c r="M113" s="167"/>
      <c r="N113" s="93"/>
      <c r="O113" s="94"/>
    </row>
    <row r="114" spans="1:15" ht="15.75" customHeight="1" x14ac:dyDescent="0.2">
      <c r="A114" s="48"/>
      <c r="B114" s="167"/>
      <c r="C114" s="93"/>
      <c r="D114" s="93"/>
      <c r="E114" s="167"/>
      <c r="F114" s="93"/>
      <c r="G114" s="93"/>
      <c r="H114" s="93"/>
      <c r="I114" s="2"/>
      <c r="J114" s="2"/>
      <c r="K114" s="3"/>
      <c r="L114" s="3"/>
      <c r="M114" s="167"/>
      <c r="N114" s="93"/>
      <c r="O114" s="94"/>
    </row>
    <row r="115" spans="1:15" ht="15.75" customHeight="1" x14ac:dyDescent="0.2">
      <c r="A115" s="48"/>
      <c r="B115" s="167"/>
      <c r="C115" s="93"/>
      <c r="D115" s="93"/>
      <c r="E115" s="167"/>
      <c r="F115" s="93"/>
      <c r="G115" s="93"/>
      <c r="H115" s="93"/>
      <c r="I115" s="2"/>
      <c r="J115" s="2"/>
      <c r="K115" s="3"/>
      <c r="L115" s="3"/>
      <c r="M115" s="167"/>
      <c r="N115" s="93"/>
      <c r="O115" s="94"/>
    </row>
    <row r="116" spans="1:15" ht="15.75" customHeight="1" x14ac:dyDescent="0.2">
      <c r="A116" s="48"/>
      <c r="B116" s="167"/>
      <c r="C116" s="93"/>
      <c r="D116" s="93"/>
      <c r="E116" s="167"/>
      <c r="F116" s="93"/>
      <c r="G116" s="93"/>
      <c r="H116" s="93"/>
      <c r="I116" s="2"/>
      <c r="J116" s="2"/>
      <c r="K116" s="3"/>
      <c r="L116" s="3"/>
      <c r="M116" s="167"/>
      <c r="N116" s="93"/>
      <c r="O116" s="94"/>
    </row>
    <row r="117" spans="1:15" ht="15.75" customHeight="1" x14ac:dyDescent="0.2">
      <c r="A117" s="48"/>
      <c r="B117" s="167"/>
      <c r="C117" s="93"/>
      <c r="D117" s="93"/>
      <c r="E117" s="167"/>
      <c r="F117" s="93"/>
      <c r="G117" s="93"/>
      <c r="H117" s="93"/>
      <c r="I117" s="2"/>
      <c r="J117" s="2"/>
      <c r="K117" s="3"/>
      <c r="L117" s="3"/>
      <c r="M117" s="167"/>
      <c r="N117" s="93"/>
      <c r="O117" s="94"/>
    </row>
    <row r="118" spans="1:15" ht="15.75" customHeight="1" x14ac:dyDescent="0.2">
      <c r="A118" s="48"/>
      <c r="B118" s="167"/>
      <c r="C118" s="93"/>
      <c r="D118" s="93"/>
      <c r="E118" s="167"/>
      <c r="F118" s="93"/>
      <c r="G118" s="93"/>
      <c r="H118" s="93"/>
      <c r="I118" s="2"/>
      <c r="J118" s="2"/>
      <c r="K118" s="3"/>
      <c r="L118" s="3"/>
      <c r="M118" s="167"/>
      <c r="N118" s="93"/>
      <c r="O118" s="94"/>
    </row>
    <row r="119" spans="1:15" ht="15.75" customHeight="1" x14ac:dyDescent="0.2">
      <c r="A119" s="48"/>
      <c r="B119" s="167"/>
      <c r="C119" s="93"/>
      <c r="D119" s="93"/>
      <c r="E119" s="167"/>
      <c r="F119" s="93"/>
      <c r="G119" s="93"/>
      <c r="H119" s="93"/>
      <c r="I119" s="2"/>
      <c r="J119" s="2"/>
      <c r="K119" s="3"/>
      <c r="L119" s="3"/>
      <c r="M119" s="167"/>
      <c r="N119" s="93"/>
      <c r="O119" s="94"/>
    </row>
    <row r="120" spans="1:15" ht="15.75" customHeight="1" x14ac:dyDescent="0.2">
      <c r="A120" s="48"/>
      <c r="B120" s="167"/>
      <c r="C120" s="93"/>
      <c r="D120" s="93"/>
      <c r="E120" s="167"/>
      <c r="F120" s="93"/>
      <c r="G120" s="93"/>
      <c r="H120" s="93"/>
      <c r="I120" s="2"/>
      <c r="J120" s="2"/>
      <c r="K120" s="3"/>
      <c r="L120" s="3"/>
      <c r="M120" s="167"/>
      <c r="N120" s="93"/>
      <c r="O120" s="94"/>
    </row>
    <row r="121" spans="1:15" ht="15.75" customHeight="1" x14ac:dyDescent="0.2">
      <c r="A121" s="49"/>
      <c r="B121" s="101"/>
      <c r="C121" s="102"/>
      <c r="D121" s="102"/>
      <c r="E121" s="101"/>
      <c r="F121" s="102"/>
      <c r="G121" s="102"/>
      <c r="H121" s="102"/>
      <c r="I121" s="25"/>
      <c r="J121" s="25"/>
      <c r="K121" s="50"/>
      <c r="L121" s="50"/>
      <c r="M121" s="101"/>
      <c r="N121" s="102"/>
      <c r="O121" s="103"/>
    </row>
  </sheetData>
  <mergeCells count="304">
    <mergeCell ref="E56:H56"/>
    <mergeCell ref="A56:D57"/>
    <mergeCell ref="E54:H54"/>
    <mergeCell ref="A45:A55"/>
    <mergeCell ref="B45:D55"/>
    <mergeCell ref="E53:H53"/>
    <mergeCell ref="A3:E3"/>
    <mergeCell ref="A4:E4"/>
    <mergeCell ref="A5:E5"/>
    <mergeCell ref="E40:H40"/>
    <mergeCell ref="E41:H41"/>
    <mergeCell ref="E51:H51"/>
    <mergeCell ref="E52:H52"/>
    <mergeCell ref="E50:H50"/>
    <mergeCell ref="E55:H55"/>
    <mergeCell ref="A32:A37"/>
    <mergeCell ref="A39:A42"/>
    <mergeCell ref="B39:D42"/>
    <mergeCell ref="A43:A44"/>
    <mergeCell ref="B43:D44"/>
    <mergeCell ref="B11:D28"/>
    <mergeCell ref="A11:A28"/>
    <mergeCell ref="A29:A31"/>
    <mergeCell ref="A9:A10"/>
    <mergeCell ref="J9:J10"/>
    <mergeCell ref="I9:I10"/>
    <mergeCell ref="B32:D37"/>
    <mergeCell ref="B29:D31"/>
    <mergeCell ref="B10:D10"/>
    <mergeCell ref="E10:H10"/>
    <mergeCell ref="B9:H9"/>
    <mergeCell ref="E21:H21"/>
    <mergeCell ref="E22:H22"/>
    <mergeCell ref="E23:H23"/>
    <mergeCell ref="E24:H24"/>
    <mergeCell ref="E32:H32"/>
    <mergeCell ref="E33:H33"/>
    <mergeCell ref="E34:H34"/>
    <mergeCell ref="E35:H35"/>
    <mergeCell ref="E37:H37"/>
    <mergeCell ref="E19:H19"/>
    <mergeCell ref="E20:H20"/>
    <mergeCell ref="E18:H18"/>
    <mergeCell ref="E17:H17"/>
    <mergeCell ref="E49:H49"/>
    <mergeCell ref="E47:H47"/>
    <mergeCell ref="E48:H48"/>
    <mergeCell ref="E25:H25"/>
    <mergeCell ref="J43:J44"/>
    <mergeCell ref="E26:H26"/>
    <mergeCell ref="E27:H27"/>
    <mergeCell ref="E28:H28"/>
    <mergeCell ref="E29:H29"/>
    <mergeCell ref="E30:H30"/>
    <mergeCell ref="E31:H31"/>
    <mergeCell ref="E38:H38"/>
    <mergeCell ref="E39:H39"/>
    <mergeCell ref="E46:H46"/>
    <mergeCell ref="E43:H43"/>
    <mergeCell ref="E45:H45"/>
    <mergeCell ref="E44:H44"/>
    <mergeCell ref="E42:H42"/>
    <mergeCell ref="M38:O38"/>
    <mergeCell ref="M39:O39"/>
    <mergeCell ref="M28:O28"/>
    <mergeCell ref="M29:O29"/>
    <mergeCell ref="M30:O30"/>
    <mergeCell ref="M31:O31"/>
    <mergeCell ref="M32:O32"/>
    <mergeCell ref="B38:D38"/>
    <mergeCell ref="L11:L28"/>
    <mergeCell ref="E11:H11"/>
    <mergeCell ref="E13:H13"/>
    <mergeCell ref="E14:H14"/>
    <mergeCell ref="E15:H15"/>
    <mergeCell ref="E16:H16"/>
    <mergeCell ref="E12:H12"/>
    <mergeCell ref="E36:H36"/>
    <mergeCell ref="M71:O71"/>
    <mergeCell ref="M72:O72"/>
    <mergeCell ref="M73:O73"/>
    <mergeCell ref="M74:O74"/>
    <mergeCell ref="M75:O75"/>
    <mergeCell ref="M76:O76"/>
    <mergeCell ref="M65:O65"/>
    <mergeCell ref="M66:O66"/>
    <mergeCell ref="M67:O67"/>
    <mergeCell ref="M68:O68"/>
    <mergeCell ref="M69:O69"/>
    <mergeCell ref="M70:O70"/>
    <mergeCell ref="E75:H75"/>
    <mergeCell ref="E76:H76"/>
    <mergeCell ref="E74:H74"/>
    <mergeCell ref="E67:H67"/>
    <mergeCell ref="E68:H68"/>
    <mergeCell ref="E57:H57"/>
    <mergeCell ref="E58:H58"/>
    <mergeCell ref="E59:H59"/>
    <mergeCell ref="E60:H60"/>
    <mergeCell ref="E61:H61"/>
    <mergeCell ref="E62:H62"/>
    <mergeCell ref="E63:H63"/>
    <mergeCell ref="E69:H69"/>
    <mergeCell ref="E70:H70"/>
    <mergeCell ref="E71:H71"/>
    <mergeCell ref="E72:H72"/>
    <mergeCell ref="E73:H73"/>
    <mergeCell ref="E65:H65"/>
    <mergeCell ref="E66:H66"/>
    <mergeCell ref="E64:H64"/>
    <mergeCell ref="M84:O84"/>
    <mergeCell ref="M86:O86"/>
    <mergeCell ref="M87:O87"/>
    <mergeCell ref="M88:O88"/>
    <mergeCell ref="M77:O77"/>
    <mergeCell ref="M78:O78"/>
    <mergeCell ref="M79:O79"/>
    <mergeCell ref="M80:O80"/>
    <mergeCell ref="M81:O81"/>
    <mergeCell ref="M82:O82"/>
    <mergeCell ref="K9:K10"/>
    <mergeCell ref="L9:L10"/>
    <mergeCell ref="M9:O10"/>
    <mergeCell ref="K32:K37"/>
    <mergeCell ref="L32:L37"/>
    <mergeCell ref="M33:O33"/>
    <mergeCell ref="M34:O34"/>
    <mergeCell ref="M35:O35"/>
    <mergeCell ref="M37:O37"/>
    <mergeCell ref="M24:O24"/>
    <mergeCell ref="M120:O120"/>
    <mergeCell ref="M121:O121"/>
    <mergeCell ref="M85:O85"/>
    <mergeCell ref="M12:O12"/>
    <mergeCell ref="M40:O40"/>
    <mergeCell ref="L56:L57"/>
    <mergeCell ref="M25:O25"/>
    <mergeCell ref="M27:O27"/>
    <mergeCell ref="K11:K28"/>
    <mergeCell ref="K45:K55"/>
    <mergeCell ref="K56:K57"/>
    <mergeCell ref="M117:O117"/>
    <mergeCell ref="M118:O118"/>
    <mergeCell ref="M97:O97"/>
    <mergeCell ref="M98:O98"/>
    <mergeCell ref="M99:O99"/>
    <mergeCell ref="M100:O100"/>
    <mergeCell ref="M89:O89"/>
    <mergeCell ref="M90:O90"/>
    <mergeCell ref="M91:O91"/>
    <mergeCell ref="M92:O92"/>
    <mergeCell ref="M93:O93"/>
    <mergeCell ref="M94:O94"/>
    <mergeCell ref="M83:O83"/>
    <mergeCell ref="B68:D68"/>
    <mergeCell ref="B69:D69"/>
    <mergeCell ref="L45:L55"/>
    <mergeCell ref="M45:O45"/>
    <mergeCell ref="K29:K31"/>
    <mergeCell ref="K39:K42"/>
    <mergeCell ref="K43:K44"/>
    <mergeCell ref="L39:L42"/>
    <mergeCell ref="L43:L44"/>
    <mergeCell ref="L29:L31"/>
    <mergeCell ref="M59:O59"/>
    <mergeCell ref="M60:O60"/>
    <mergeCell ref="M61:O61"/>
    <mergeCell ref="M62:O62"/>
    <mergeCell ref="M63:O63"/>
    <mergeCell ref="M64:O64"/>
    <mergeCell ref="M55:O55"/>
    <mergeCell ref="M56:O56"/>
    <mergeCell ref="M57:O57"/>
    <mergeCell ref="M58:O58"/>
    <mergeCell ref="M41:O41"/>
    <mergeCell ref="M42:O42"/>
    <mergeCell ref="M43:O43"/>
    <mergeCell ref="M44:O44"/>
    <mergeCell ref="B58:D58"/>
    <mergeCell ref="B59:D59"/>
    <mergeCell ref="B67:D67"/>
    <mergeCell ref="B61:D61"/>
    <mergeCell ref="B62:D62"/>
    <mergeCell ref="B63:D63"/>
    <mergeCell ref="B64:D64"/>
    <mergeCell ref="B65:D65"/>
    <mergeCell ref="B66:D66"/>
    <mergeCell ref="B60:D60"/>
    <mergeCell ref="B85:D85"/>
    <mergeCell ref="B79:D79"/>
    <mergeCell ref="B80:D80"/>
    <mergeCell ref="B81:D81"/>
    <mergeCell ref="B82:D82"/>
    <mergeCell ref="B83:D83"/>
    <mergeCell ref="B84:D84"/>
    <mergeCell ref="B70:D70"/>
    <mergeCell ref="B71:D71"/>
    <mergeCell ref="B73:D73"/>
    <mergeCell ref="B74:D74"/>
    <mergeCell ref="B75:D75"/>
    <mergeCell ref="B76:D76"/>
    <mergeCell ref="B77:D77"/>
    <mergeCell ref="B78:D78"/>
    <mergeCell ref="B72:D72"/>
    <mergeCell ref="B121:D121"/>
    <mergeCell ref="B116:D116"/>
    <mergeCell ref="B117:D117"/>
    <mergeCell ref="B118:D118"/>
    <mergeCell ref="B119:D119"/>
    <mergeCell ref="B120:D120"/>
    <mergeCell ref="B91:D91"/>
    <mergeCell ref="B92:D92"/>
    <mergeCell ref="B86:D86"/>
    <mergeCell ref="B87:D87"/>
    <mergeCell ref="B88:D88"/>
    <mergeCell ref="B89:D89"/>
    <mergeCell ref="B90:D90"/>
    <mergeCell ref="B103:D103"/>
    <mergeCell ref="B104:D104"/>
    <mergeCell ref="B105:D105"/>
    <mergeCell ref="B106:D106"/>
    <mergeCell ref="B107:D107"/>
    <mergeCell ref="B108:D108"/>
    <mergeCell ref="B97:D97"/>
    <mergeCell ref="B98:D98"/>
    <mergeCell ref="B99:D99"/>
    <mergeCell ref="B100:D100"/>
    <mergeCell ref="B101:D101"/>
    <mergeCell ref="E87:H87"/>
    <mergeCell ref="E88:H88"/>
    <mergeCell ref="E89:H89"/>
    <mergeCell ref="E90:H90"/>
    <mergeCell ref="E91:H91"/>
    <mergeCell ref="E92:H92"/>
    <mergeCell ref="E86:H86"/>
    <mergeCell ref="B115:D115"/>
    <mergeCell ref="B109:D109"/>
    <mergeCell ref="B110:D110"/>
    <mergeCell ref="B111:D111"/>
    <mergeCell ref="B112:D112"/>
    <mergeCell ref="B113:D113"/>
    <mergeCell ref="B114:D114"/>
    <mergeCell ref="B93:D93"/>
    <mergeCell ref="B94:D94"/>
    <mergeCell ref="B95:D95"/>
    <mergeCell ref="B96:D96"/>
    <mergeCell ref="E93:H93"/>
    <mergeCell ref="B102:D102"/>
    <mergeCell ref="E109:H109"/>
    <mergeCell ref="E110:H110"/>
    <mergeCell ref="E105:H105"/>
    <mergeCell ref="E106:H106"/>
    <mergeCell ref="E77:H77"/>
    <mergeCell ref="E78:H78"/>
    <mergeCell ref="E79:H79"/>
    <mergeCell ref="E80:H80"/>
    <mergeCell ref="E81:H81"/>
    <mergeCell ref="E82:H82"/>
    <mergeCell ref="E83:H83"/>
    <mergeCell ref="E84:H84"/>
    <mergeCell ref="E85:H85"/>
    <mergeCell ref="M95:O95"/>
    <mergeCell ref="M96:O96"/>
    <mergeCell ref="E94:H94"/>
    <mergeCell ref="E95:H95"/>
    <mergeCell ref="E96:H96"/>
    <mergeCell ref="E97:H97"/>
    <mergeCell ref="E98:H98"/>
    <mergeCell ref="E120:H120"/>
    <mergeCell ref="E121:H121"/>
    <mergeCell ref="M107:O107"/>
    <mergeCell ref="M108:O108"/>
    <mergeCell ref="M109:O109"/>
    <mergeCell ref="M110:O110"/>
    <mergeCell ref="M101:O101"/>
    <mergeCell ref="M102:O102"/>
    <mergeCell ref="E99:H99"/>
    <mergeCell ref="E100:H100"/>
    <mergeCell ref="E101:H101"/>
    <mergeCell ref="E102:H102"/>
    <mergeCell ref="E103:H103"/>
    <mergeCell ref="M103:O103"/>
    <mergeCell ref="M104:O104"/>
    <mergeCell ref="M105:O105"/>
    <mergeCell ref="M106:O106"/>
    <mergeCell ref="E107:H107"/>
    <mergeCell ref="E108:H108"/>
    <mergeCell ref="E104:H104"/>
    <mergeCell ref="E111:H111"/>
    <mergeCell ref="E112:H112"/>
    <mergeCell ref="E113:H113"/>
    <mergeCell ref="E114:H114"/>
    <mergeCell ref="E115:H115"/>
    <mergeCell ref="E116:H116"/>
    <mergeCell ref="M111:O111"/>
    <mergeCell ref="M112:O112"/>
    <mergeCell ref="E117:H117"/>
    <mergeCell ref="E118:H118"/>
    <mergeCell ref="E119:H119"/>
    <mergeCell ref="M119:O119"/>
    <mergeCell ref="M113:O113"/>
    <mergeCell ref="M114:O114"/>
    <mergeCell ref="M115:O115"/>
    <mergeCell ref="M116:O116"/>
  </mergeCells>
  <dataValidations count="1">
    <dataValidation type="list" allowBlank="1" showErrorMessage="1" sqref="G7" xr:uid="{00000000-0002-0000-0100-000000000000}">
      <formula1>"Tiempo horario,Tiempo completo,"</formula1>
    </dataValidation>
  </dataValidations>
  <pageMargins left="0.7" right="0.7" top="0.75" bottom="0.75" header="0" footer="0"/>
  <pageSetup scale="7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ALGEBRA II-B</vt:lpstr>
      <vt:lpstr>Hoja1</vt:lpstr>
      <vt:lpstr>ALGEBRA II-B!Área_de_impresión</vt:lpstr>
    </vt:vector>
  </TitlesOfParts>
  <Company>GP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William Chao Rivero</cp:lastModifiedBy>
  <cp:lastPrinted>2022-06-17T03:00:36Z</cp:lastPrinted>
  <dcterms:created xsi:type="dcterms:W3CDTF">2019-03-08T22:00:35Z</dcterms:created>
  <dcterms:modified xsi:type="dcterms:W3CDTF">2024-01-04T22:34:21Z</dcterms:modified>
</cp:coreProperties>
</file>